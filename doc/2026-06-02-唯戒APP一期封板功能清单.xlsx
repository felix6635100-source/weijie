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960" windowHeight="18820" tabRatio="600" firstSheet="0" activeTab="0" autoFilterDateGrouping="1"/>
  </bookViews>
  <sheets>
    <sheet xmlns:r="http://schemas.openxmlformats.org/officeDocument/2006/relationships" name="一期封板·功能清单" sheetId="1" state="visible" r:id="rId1"/>
    <sheet xmlns:r="http://schemas.openxmlformats.org/officeDocument/2006/relationships" name="模块汇总" sheetId="2" state="visible" r:id="rId2"/>
    <sheet xmlns:r="http://schemas.openxmlformats.org/officeDocument/2006/relationships" name="使用说明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PingFang SC"/>
      <charset val="134"/>
      <b val="1"/>
      <color rgb="FFFFFFFF"/>
      <sz val="14"/>
    </font>
    <font>
      <name val="PingFang SC"/>
      <charset val="134"/>
      <sz val="11"/>
    </font>
    <font>
      <name val="PingFang SC"/>
      <charset val="134"/>
      <b val="1"/>
      <color rgb="FF4F46E5"/>
      <sz val="11"/>
    </font>
    <font>
      <name val="PingFang SC"/>
      <charset val="134"/>
      <b val="1"/>
      <color rgb="FFFFFFFF"/>
      <sz val="11"/>
    </font>
    <font>
      <name val="PingFang SC"/>
      <charset val="134"/>
      <b val="1"/>
      <color rgb="FF1F2330"/>
      <sz val="11"/>
    </font>
    <font>
      <name val="PingFang SC"/>
      <charset val="134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1FAE5"/>
      </patternFill>
    </fill>
    <fill>
      <patternFill patternType="solid">
        <fgColor rgb="00FECACA"/>
      </patternFill>
    </fill>
  </fills>
  <borders count="1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5E7EB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2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3" borderId="8" applyAlignment="1">
      <alignment vertical="center"/>
    </xf>
    <xf numFmtId="0" fontId="17" fillId="14" borderId="9" applyAlignment="1">
      <alignment vertical="center"/>
    </xf>
    <xf numFmtId="0" fontId="18" fillId="14" borderId="8" applyAlignment="1">
      <alignment vertical="center"/>
    </xf>
    <xf numFmtId="0" fontId="19" fillId="15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6" fillId="40" borderId="0" applyAlignment="1">
      <alignment vertical="center"/>
    </xf>
    <xf numFmtId="0" fontId="26" fillId="41" borderId="0" applyAlignment="1">
      <alignment vertical="center"/>
    </xf>
    <xf numFmtId="0" fontId="25" fillId="42" borderId="0" applyAlignment="1">
      <alignment vertical="center"/>
    </xf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1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11" borderId="3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vertical="center" wrapText="1"/>
    </xf>
    <xf numFmtId="0" fontId="6" fillId="44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FFD1FAE5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BFDB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tabSelected="1" workbookViewId="0">
      <pane ySplit="2" topLeftCell="A105" activePane="bottomLeft" state="frozen"/>
      <selection activeCell="A1" sqref="A1"/>
      <selection pane="bottomLeft" activeCell="I124" sqref="I124"/>
    </sheetView>
  </sheetViews>
  <sheetFormatPr baseColWidth="8" defaultColWidth="9" defaultRowHeight="16.8"/>
  <cols>
    <col width="10" customWidth="1" min="1" max="1"/>
    <col width="18" customWidth="1" min="2" max="2"/>
    <col width="28" customWidth="1" min="3" max="3"/>
    <col width="60" customWidth="1" min="4" max="4"/>
    <col width="22" customWidth="1" min="5" max="5"/>
    <col width="17.7884615384615" customWidth="1" min="6" max="6"/>
    <col width="20.5096153846154" customWidth="1" min="7" max="7"/>
    <col width="40.7019230769231" customWidth="1" min="8" max="8"/>
  </cols>
  <sheetData>
    <row r="1" ht="30" customHeight="1">
      <c r="A1" s="1" t="inlineStr">
        <is>
          <t>唯戒 App · 一期封板功能清单（按功能维度）</t>
        </is>
      </c>
    </row>
    <row r="2" ht="28" customHeight="1">
      <c r="A2" s="4" t="inlineStr">
        <is>
          <t>模块</t>
        </is>
      </c>
      <c r="B2" s="4" t="inlineStr">
        <is>
          <t>功能块</t>
        </is>
      </c>
      <c r="C2" s="4" t="inlineStr">
        <is>
          <t>子功能 / 支持内容</t>
        </is>
      </c>
      <c r="D2" s="4" t="inlineStr">
        <is>
          <t>范围与说明</t>
        </is>
      </c>
      <c r="E2" s="4" t="inlineStr">
        <is>
          <t>关联页面</t>
        </is>
      </c>
      <c r="F2" s="4" t="inlineStr">
        <is>
          <t>一期实现</t>
        </is>
      </c>
      <c r="G2" s="4" t="inlineStr">
        <is>
          <t>当前实现情况</t>
        </is>
      </c>
      <c r="H2" s="4" t="inlineStr">
        <is>
          <t>备注</t>
        </is>
      </c>
    </row>
    <row r="3">
      <c r="A3" s="12" t="inlineStr">
        <is>
          <t>今日</t>
        </is>
      </c>
      <c r="B3" s="13" t="inlineStr">
        <is>
          <t>一周日期切换</t>
        </is>
      </c>
      <c r="C3" s="14" t="inlineStr">
        <is>
          <t>当周 7 天日期条</t>
        </is>
      </c>
      <c r="D3" s="14" t="inlineStr">
        <is>
          <t>周一至周日横排，固定本自然周</t>
        </is>
      </c>
      <c r="E3" s="6" t="inlineStr">
        <is>
          <t>T1.C1</t>
        </is>
      </c>
      <c r="F3" s="36" t="inlineStr">
        <is>
          <t>是</t>
        </is>
      </c>
      <c r="G3" s="36" t="inlineStr">
        <is>
          <t>是</t>
        </is>
      </c>
      <c r="H3" s="14" t="inlineStr"/>
    </row>
    <row r="4">
      <c r="A4" s="16" t="n"/>
      <c r="B4" s="16" t="n"/>
      <c r="C4" s="14" t="inlineStr">
        <is>
          <t>当日成绩徽章</t>
        </is>
      </c>
      <c r="D4" s="14" t="inlineStr">
        <is>
          <t>金 🏆 / 银 🥈 / 铜 🥉 / 铁 🪨 / 空 ⚪ 五状态</t>
        </is>
      </c>
      <c r="E4" s="6" t="inlineStr">
        <is>
          <t>T1.C1</t>
        </is>
      </c>
      <c r="F4" s="36" t="inlineStr">
        <is>
          <t>是</t>
        </is>
      </c>
      <c r="G4" s="36" t="inlineStr">
        <is>
          <t>是</t>
        </is>
      </c>
      <c r="H4" s="14" t="inlineStr"/>
    </row>
    <row r="5">
      <c r="A5" s="16" t="n"/>
      <c r="B5" s="17" t="n"/>
      <c r="C5" s="14" t="inlineStr">
        <is>
          <t>历史日切换</t>
        </is>
      </c>
      <c r="D5" s="14" t="inlineStr">
        <is>
          <t>点击本周过去日切换数据；未来日不可点；今日徽章实时升级</t>
        </is>
      </c>
      <c r="E5" s="6" t="inlineStr">
        <is>
          <t>T1.C1</t>
        </is>
      </c>
      <c r="F5" s="36" t="inlineStr">
        <is>
          <t>是</t>
        </is>
      </c>
      <c r="G5" s="36" t="inlineStr">
        <is>
          <t>是</t>
        </is>
      </c>
      <c r="H5" s="14" t="inlineStr"/>
    </row>
    <row r="6">
      <c r="A6" s="16" t="n"/>
      <c r="B6" s="13" t="inlineStr">
        <is>
          <t>三环活动</t>
        </is>
      </c>
      <c r="C6" s="14" t="inlineStr">
        <is>
          <t>习惯环</t>
        </is>
      </c>
      <c r="D6" s="14" t="inlineStr">
        <is>
          <t>今日挑战平均完成率</t>
        </is>
      </c>
      <c r="E6" s="6" t="inlineStr">
        <is>
          <t>T1.C2 / T2</t>
        </is>
      </c>
      <c r="F6" s="36" t="inlineStr">
        <is>
          <t>是</t>
        </is>
      </c>
      <c r="G6" s="36" t="inlineStr">
        <is>
          <t>是</t>
        </is>
      </c>
      <c r="H6" s="14" t="inlineStr"/>
    </row>
    <row r="7">
      <c r="A7" s="16" t="n"/>
      <c r="B7" s="16" t="n"/>
      <c r="C7" s="14" t="inlineStr">
        <is>
          <t>关心环</t>
        </is>
      </c>
      <c r="D7" s="14" t="inlineStr">
        <is>
          <t>今日互动 XP（点赞+评论累计）</t>
        </is>
      </c>
      <c r="E7" s="6" t="inlineStr">
        <is>
          <t>T1.C2 / T2</t>
        </is>
      </c>
      <c r="F7" s="36" t="inlineStr">
        <is>
          <t>是</t>
        </is>
      </c>
      <c r="G7" s="36" t="inlineStr">
        <is>
          <t>是</t>
        </is>
      </c>
      <c r="H7" s="14" t="inlineStr"/>
    </row>
    <row r="8">
      <c r="A8" s="16" t="n"/>
      <c r="B8" s="16" t="n"/>
      <c r="C8" s="14" t="inlineStr">
        <is>
          <t>成长环</t>
        </is>
      </c>
      <c r="D8" s="14" t="inlineStr">
        <is>
          <t>今日 XP</t>
        </is>
      </c>
      <c r="E8" s="6" t="inlineStr">
        <is>
          <t>T1.C2 / T2</t>
        </is>
      </c>
      <c r="F8" s="36" t="inlineStr">
        <is>
          <t>是</t>
        </is>
      </c>
      <c r="G8" s="36" t="inlineStr">
        <is>
          <t>是</t>
        </is>
      </c>
      <c r="H8" s="14" t="inlineStr"/>
    </row>
    <row r="9">
      <c r="A9" s="16" t="n"/>
      <c r="B9" s="16" t="n"/>
      <c r="C9" s="14" t="inlineStr">
        <is>
          <t>中心等级徽章</t>
        </is>
      </c>
      <c r="D9" s="14" t="inlineStr">
        <is>
          <t>铁 / 铜 / 银 / 金 4 档（按达 90% 的环数判定）</t>
        </is>
      </c>
      <c r="E9" s="6" t="inlineStr">
        <is>
          <t>T1.C2 / T2</t>
        </is>
      </c>
      <c r="F9" s="36" t="inlineStr">
        <is>
          <t>是</t>
        </is>
      </c>
      <c r="G9" s="36" t="inlineStr">
        <is>
          <t>是</t>
        </is>
      </c>
      <c r="H9" s="14" t="inlineStr"/>
    </row>
    <row r="10">
      <c r="A10" s="16" t="n"/>
      <c r="B10" s="16" t="n"/>
      <c r="C10" s="14" t="inlineStr">
        <is>
          <t>圆环显隐配置</t>
        </is>
      </c>
      <c r="D10" s="14" t="inlineStr">
        <is>
          <t>可关闭任意 1-2 环，至少保留 1 个；徽章规则联动</t>
        </is>
      </c>
      <c r="E10" s="6" t="inlineStr">
        <is>
          <t>T2</t>
        </is>
      </c>
      <c r="F10" s="36" t="inlineStr">
        <is>
          <t>是</t>
        </is>
      </c>
      <c r="G10" s="36" t="inlineStr">
        <is>
          <t>是</t>
        </is>
      </c>
      <c r="H10" s="14" t="inlineStr"/>
    </row>
    <row r="11">
      <c r="A11" s="16" t="n"/>
      <c r="B11" s="17" t="n"/>
      <c r="C11" s="14" t="inlineStr">
        <is>
          <t>未连接戒指引导卡</t>
        </is>
      </c>
      <c r="D11" s="14" t="inlineStr">
        <is>
          <t>替换三环区域显示连接 CTA + 4 项卖点</t>
        </is>
      </c>
      <c r="E11" s="6" t="inlineStr">
        <is>
          <t>T1.C2 / T1.C5</t>
        </is>
      </c>
      <c r="F11" s="36" t="inlineStr">
        <is>
          <t>是</t>
        </is>
      </c>
      <c r="G11" s="36" t="inlineStr">
        <is>
          <t>是</t>
        </is>
      </c>
      <c r="H11" s="14" t="inlineStr"/>
    </row>
    <row r="12">
      <c r="A12" s="16" t="n"/>
      <c r="B12" s="13" t="inlineStr">
        <is>
          <t>身体指标</t>
        </is>
      </c>
      <c r="C12" s="14" t="inlineStr">
        <is>
          <t>心理压力</t>
        </is>
      </c>
      <c r="D12" s="14" t="inlineStr">
        <is>
          <t>0-100 综合分，3 阶段（紧张 / 正常 / 愉悦）</t>
        </is>
      </c>
      <c r="E12" s="6" t="inlineStr">
        <is>
          <t>T1.C3 / T3</t>
        </is>
      </c>
      <c r="F12" s="36" t="inlineStr">
        <is>
          <t>是</t>
        </is>
      </c>
      <c r="G12" s="36" t="inlineStr">
        <is>
          <t>是</t>
        </is>
      </c>
      <c r="H12" s="14" t="inlineStr"/>
    </row>
    <row r="13" ht="31" customHeight="1">
      <c r="A13" s="16" t="n"/>
      <c r="B13" s="16" t="n"/>
      <c r="C13" s="14" t="inlineStr">
        <is>
          <t>身体恢复度</t>
        </is>
      </c>
      <c r="D13" s="14" t="inlineStr">
        <is>
          <t>0-100%，4 阶段，含 ⓘ 入口看四项贡献明细（HRV/睡眠/RHR/运动强度）</t>
        </is>
      </c>
      <c r="E13" s="6" t="inlineStr">
        <is>
          <t>T1.C3 / T3 / T3.1</t>
        </is>
      </c>
      <c r="F13" s="36" t="inlineStr">
        <is>
          <t>是</t>
        </is>
      </c>
      <c r="G13" s="37" t="inlineStr">
        <is>
          <t>否</t>
        </is>
      </c>
      <c r="H13" s="14" t="inlineStr"/>
    </row>
    <row r="14">
      <c r="A14" s="16" t="n"/>
      <c r="B14" s="16" t="n"/>
      <c r="C14" s="14" t="inlineStr">
        <is>
          <t>HRV（心率变异性）</t>
        </is>
      </c>
      <c r="D14" s="14" t="inlineStr">
        <is>
          <t>4 档状态（警示 / 正常 / 良好 / 优秀）</t>
        </is>
      </c>
      <c r="E14" s="6" t="inlineStr">
        <is>
          <t>T1.C3 / T3</t>
        </is>
      </c>
      <c r="F14" s="36" t="inlineStr">
        <is>
          <t>是</t>
        </is>
      </c>
      <c r="G14" s="36" t="inlineStr">
        <is>
          <t>是</t>
        </is>
      </c>
      <c r="H14" s="14" t="inlineStr"/>
    </row>
    <row r="15">
      <c r="A15" s="16" t="n"/>
      <c r="B15" s="16" t="n"/>
      <c r="C15" s="14" t="inlineStr">
        <is>
          <t>步数</t>
        </is>
      </c>
      <c r="D15" s="14" t="inlineStr">
        <is>
          <t>当日累计 + 4 档</t>
        </is>
      </c>
      <c r="E15" s="6" t="inlineStr">
        <is>
          <t>T1.C3 / T3</t>
        </is>
      </c>
      <c r="F15" s="36" t="inlineStr">
        <is>
          <t>是</t>
        </is>
      </c>
      <c r="G15" s="36" t="inlineStr">
        <is>
          <t>是</t>
        </is>
      </c>
      <c r="H15" s="14" t="inlineStr"/>
    </row>
    <row r="16">
      <c r="A16" s="16" t="n"/>
      <c r="B16" s="16" t="n"/>
      <c r="C16" s="14" t="inlineStr">
        <is>
          <t>睡眠</t>
        </is>
      </c>
      <c r="D16" s="14" t="inlineStr">
        <is>
          <t>总时长 + 4 段构成（清醒/浅睡/深睡/REM）+ 4 档+入睡/醒来时间</t>
        </is>
      </c>
      <c r="E16" s="6" t="inlineStr">
        <is>
          <t>T1.C3 / T3</t>
        </is>
      </c>
      <c r="F16" s="36" t="inlineStr">
        <is>
          <t>是</t>
        </is>
      </c>
      <c r="G16" s="36" t="inlineStr">
        <is>
          <t>是</t>
        </is>
      </c>
      <c r="H16" s="14" t="inlineStr"/>
    </row>
    <row r="17">
      <c r="A17" s="16" t="n"/>
      <c r="B17" s="16" t="n"/>
      <c r="C17" s="14" t="inlineStr">
        <is>
          <t>血氧 SpO₂</t>
        </is>
      </c>
      <c r="D17" s="14" t="inlineStr">
        <is>
          <t>4 档状态</t>
        </is>
      </c>
      <c r="E17" s="6" t="inlineStr">
        <is>
          <t>T1.C3 / T3</t>
        </is>
      </c>
      <c r="F17" s="36" t="inlineStr">
        <is>
          <t>是</t>
        </is>
      </c>
      <c r="G17" s="36" t="inlineStr">
        <is>
          <t>是</t>
        </is>
      </c>
      <c r="H17" s="14" t="inlineStr"/>
    </row>
    <row r="18">
      <c r="A18" s="16" t="n"/>
      <c r="B18" s="16" t="n"/>
      <c r="C18" s="14" t="inlineStr">
        <is>
          <t>静息心率</t>
        </is>
      </c>
      <c r="D18" s="14" t="inlineStr">
        <is>
          <t>4 档状态</t>
        </is>
      </c>
      <c r="E18" s="6" t="inlineStr">
        <is>
          <t>T1.C3 / T3</t>
        </is>
      </c>
      <c r="F18" s="36" t="inlineStr">
        <is>
          <t>是</t>
        </is>
      </c>
      <c r="G18" s="36" t="inlineStr">
        <is>
          <t>是</t>
        </is>
      </c>
      <c r="H18" s="14" t="inlineStr"/>
    </row>
    <row r="19">
      <c r="A19" s="16" t="n"/>
      <c r="B19" s="16" t="n"/>
      <c r="C19" s="14" t="inlineStr">
        <is>
          <t>体温</t>
        </is>
      </c>
      <c r="D19" s="14" t="inlineStr">
        <is>
          <t>4 档状态</t>
        </is>
      </c>
      <c r="E19" s="6" t="inlineStr">
        <is>
          <t>T1.C3 / T3</t>
        </is>
      </c>
      <c r="F19" s="36" t="inlineStr">
        <is>
          <t>是</t>
        </is>
      </c>
      <c r="G19" s="36" t="inlineStr">
        <is>
          <t>是</t>
        </is>
      </c>
      <c r="H19" s="14" t="inlineStr"/>
    </row>
    <row r="20">
      <c r="A20" s="16" t="n"/>
      <c r="B20" s="16" t="n"/>
      <c r="C20" s="14" t="inlineStr">
        <is>
          <t>单指标详情页</t>
        </is>
      </c>
      <c r="D20" s="14" t="inlineStr">
        <is>
          <t>24h 趋势 + 统计四宫格 + 近 7 天图 + 智能洞察文案</t>
        </is>
      </c>
      <c r="E20" s="6" t="inlineStr">
        <is>
          <t>T3</t>
        </is>
      </c>
      <c r="F20" s="36" t="inlineStr">
        <is>
          <t>是</t>
        </is>
      </c>
      <c r="G20" s="36" t="inlineStr">
        <is>
          <t>是</t>
        </is>
      </c>
      <c r="H20" s="14" t="inlineStr"/>
    </row>
    <row r="21">
      <c r="A21" s="16" t="n"/>
      <c r="B21" s="16" t="n"/>
      <c r="C21" s="14" t="inlineStr">
        <is>
          <t>生理期记录</t>
        </is>
      </c>
      <c r="D21" s="14" t="inlineStr">
        <is>
          <t>参考sdk的内容，通过记录之前的周期，推算出下次生理期</t>
        </is>
      </c>
      <c r="E21" s="6" t="n"/>
      <c r="F21" s="36" t="inlineStr">
        <is>
          <t>是</t>
        </is>
      </c>
      <c r="G21" s="37" t="inlineStr">
        <is>
          <t>否</t>
        </is>
      </c>
      <c r="H21" s="14" t="n"/>
    </row>
    <row r="22">
      <c r="A22" s="16" t="n"/>
      <c r="B22" s="17" t="n"/>
      <c r="C22" s="14" t="inlineStr">
        <is>
          <t>指标卡编辑（顺序/显隐）</t>
        </is>
      </c>
      <c r="D22" s="14" t="inlineStr">
        <is>
          <t>至少保留 1 个；拖拽排序；改动实时持久化</t>
        </is>
      </c>
      <c r="E22" s="6" t="inlineStr">
        <is>
          <t>T4</t>
        </is>
      </c>
      <c r="F22" s="36" t="inlineStr">
        <is>
          <t>是</t>
        </is>
      </c>
      <c r="G22" s="37" t="inlineStr">
        <is>
          <t>否</t>
        </is>
      </c>
      <c r="H22" s="14" t="inlineStr"/>
    </row>
    <row r="23">
      <c r="A23" s="16" t="n"/>
      <c r="B23" s="13" t="inlineStr">
        <is>
          <t>今日挑战</t>
        </is>
      </c>
      <c r="C23" s="14" t="inlineStr">
        <is>
          <t>走路挑战</t>
        </is>
      </c>
      <c r="D23" s="14" t="inlineStr">
        <is>
          <t>每日 3,000~30,000 步可调，默认 10,000</t>
        </is>
      </c>
      <c r="E23" s="6" t="inlineStr">
        <is>
          <t>T1.C4 / T5</t>
        </is>
      </c>
      <c r="F23" s="36" t="inlineStr">
        <is>
          <t>是</t>
        </is>
      </c>
      <c r="G23" s="36" t="inlineStr">
        <is>
          <t>是</t>
        </is>
      </c>
      <c r="H23" s="14" t="inlineStr"/>
    </row>
    <row r="24">
      <c r="A24" s="16" t="n"/>
      <c r="B24" s="16" t="n"/>
      <c r="C24" s="14" t="inlineStr">
        <is>
          <t>睡眠挑战</t>
        </is>
      </c>
      <c r="D24" s="14" t="inlineStr">
        <is>
          <t>每日 6~10 小时可调，默认 8.0</t>
        </is>
      </c>
      <c r="E24" s="6" t="inlineStr">
        <is>
          <t>T1.C4 / T5</t>
        </is>
      </c>
      <c r="F24" s="36" t="inlineStr">
        <is>
          <t>是</t>
        </is>
      </c>
      <c r="G24" s="36" t="inlineStr">
        <is>
          <t>是</t>
        </is>
      </c>
      <c r="H24" s="14" t="inlineStr"/>
    </row>
    <row r="25">
      <c r="A25" s="16" t="n"/>
      <c r="B25" s="16" t="n"/>
      <c r="C25" s="14" t="inlineStr">
        <is>
          <t>消耗挑战</t>
        </is>
      </c>
      <c r="D25" s="14" t="inlineStr">
        <is>
          <t>每日 200~1,500 kcal 可调，默认 500</t>
        </is>
      </c>
      <c r="E25" s="6" t="inlineStr">
        <is>
          <t>T1.C4 / T5</t>
        </is>
      </c>
      <c r="F25" s="36" t="inlineStr">
        <is>
          <t>是</t>
        </is>
      </c>
      <c r="G25" s="36" t="inlineStr">
        <is>
          <t>是</t>
        </is>
      </c>
      <c r="H25" s="14" t="inlineStr"/>
    </row>
    <row r="26">
      <c r="A26" s="16" t="n"/>
      <c r="B26" s="16" t="n"/>
      <c r="C26" s="14" t="inlineStr">
        <is>
          <t>喝水挑战</t>
        </is>
      </c>
      <c r="D26" s="14" t="inlineStr">
        <is>
          <t>每日 1,000~4,000 ml 可调；➕ 快速记录单次</t>
        </is>
      </c>
      <c r="E26" s="6" t="inlineStr">
        <is>
          <t>T1.C4 / T5 / T7.1</t>
        </is>
      </c>
      <c r="F26" s="36" t="inlineStr">
        <is>
          <t>是</t>
        </is>
      </c>
      <c r="G26" s="36" t="inlineStr">
        <is>
          <t>是</t>
        </is>
      </c>
      <c r="H26" s="14" t="inlineStr"/>
    </row>
    <row r="27">
      <c r="A27" s="16" t="n"/>
      <c r="B27" s="16" t="n"/>
      <c r="C27" s="14" t="inlineStr">
        <is>
          <t>站立挑战</t>
        </is>
      </c>
      <c r="D27" s="14" t="inlineStr">
        <is>
          <t>每日 6~14 小时可调，默认 12</t>
        </is>
      </c>
      <c r="E27" s="6" t="inlineStr">
        <is>
          <t>T1.C4 / T5</t>
        </is>
      </c>
      <c r="F27" s="36" t="inlineStr">
        <is>
          <t>是</t>
        </is>
      </c>
      <c r="G27" s="36" t="inlineStr">
        <is>
          <t>是</t>
        </is>
      </c>
      <c r="H27" s="14" t="inlineStr"/>
    </row>
    <row r="28" ht="31" customHeight="1">
      <c r="A28" s="16" t="n"/>
      <c r="B28" s="16" t="n"/>
      <c r="C28" s="14" t="inlineStr">
        <is>
          <t>跑步/心肺锻炼</t>
        </is>
      </c>
      <c r="D28" s="14" t="inlineStr">
        <is>
          <t>跑步/骑单车/爬楼梯三类型；实时记录（计时+暂停+结束确认）</t>
        </is>
      </c>
      <c r="E28" s="6" t="inlineStr">
        <is>
          <t>T1.C4 / T5 / T7.2 / T7.2.1</t>
        </is>
      </c>
      <c r="F28" s="36" t="inlineStr">
        <is>
          <t>是</t>
        </is>
      </c>
      <c r="G28" s="36" t="inlineStr">
        <is>
          <t>是</t>
        </is>
      </c>
      <c r="H28" s="14" t="inlineStr"/>
    </row>
    <row r="29">
      <c r="A29" s="16" t="n"/>
      <c r="B29" s="16" t="n"/>
      <c r="C29" s="14" t="inlineStr">
        <is>
          <t>吃药挑战</t>
        </is>
      </c>
      <c r="D29" s="14" t="inlineStr">
        <is>
          <t>每日 1-6 次可调；用药提醒时间设置；一键 +1 记录</t>
        </is>
      </c>
      <c r="E29" s="6" t="inlineStr">
        <is>
          <t>T1.C4 / T5 / T6.2.3</t>
        </is>
      </c>
      <c r="F29" s="36" t="inlineStr">
        <is>
          <t>是</t>
        </is>
      </c>
      <c r="G29" s="36" t="inlineStr">
        <is>
          <t>是</t>
        </is>
      </c>
      <c r="H29" s="14" t="inlineStr"/>
    </row>
    <row r="30">
      <c r="A30" s="16" t="n"/>
      <c r="B30" s="16" t="n"/>
      <c r="C30" s="14" t="inlineStr">
        <is>
          <t>单挑战详情</t>
        </is>
      </c>
      <c r="D30" s="14" t="inlineStr">
        <is>
          <t>圆环进度 + 关键数据 + 本周柱图 + 本周总结 + 本周历史</t>
        </is>
      </c>
      <c r="E30" s="6" t="inlineStr">
        <is>
          <t>T5</t>
        </is>
      </c>
      <c r="F30" s="36" t="inlineStr">
        <is>
          <t>是</t>
        </is>
      </c>
      <c r="G30" s="36" t="inlineStr">
        <is>
          <t>是</t>
        </is>
      </c>
      <c r="H30" s="14" t="inlineStr"/>
    </row>
    <row r="31">
      <c r="A31" s="16" t="n"/>
      <c r="B31" s="16" t="n"/>
      <c r="C31" s="14" t="inlineStr">
        <is>
          <t>目标设定</t>
        </is>
      </c>
      <c r="D31" s="14" t="inlineStr">
        <is>
          <t>每日目标 / 周目标（1-7 天）/ 锻炼类型 / 用药提醒时间</t>
        </is>
      </c>
      <c r="E31" s="6" t="inlineStr">
        <is>
          <t>T6.2</t>
        </is>
      </c>
      <c r="F31" s="36" t="inlineStr">
        <is>
          <t>是</t>
        </is>
      </c>
      <c r="G31" s="36" t="inlineStr">
        <is>
          <t>是</t>
        </is>
      </c>
      <c r="H31" s="14" t="inlineStr"/>
    </row>
    <row r="32">
      <c r="A32" s="16" t="n"/>
      <c r="B32" s="16" t="n"/>
      <c r="C32" s="14" t="inlineStr">
        <is>
          <t>挑战卡编辑（顺序/显隐）</t>
        </is>
      </c>
      <c r="D32" s="14" t="inlineStr">
        <is>
          <t>至少保留 1 个；拖拽排序；改动实时持久化</t>
        </is>
      </c>
      <c r="E32" s="6" t="inlineStr">
        <is>
          <t>T6</t>
        </is>
      </c>
      <c r="F32" s="36" t="inlineStr">
        <is>
          <t>是</t>
        </is>
      </c>
      <c r="G32" s="37" t="inlineStr">
        <is>
          <t>否</t>
        </is>
      </c>
      <c r="H32" s="14" t="inlineStr"/>
    </row>
    <row r="33" ht="31" customHeight="1">
      <c r="A33" s="16" t="n"/>
      <c r="B33" s="16" t="n"/>
      <c r="C33" s="14" t="inlineStr">
        <is>
          <t>完成 XP 发放</t>
        </is>
      </c>
      <c r="D33" s="14" t="inlineStr">
        <is>
          <t>走 +30 / 睡 +40 / 消 +35 / 喝 +20 / 站 +25 / 跑 +30 / 药 +20，完成度 100% 才发</t>
        </is>
      </c>
      <c r="E33" s="6" t="inlineStr">
        <is>
          <t>业务规则</t>
        </is>
      </c>
      <c r="F33" s="36" t="inlineStr">
        <is>
          <t>是</t>
        </is>
      </c>
      <c r="G33" s="36" t="inlineStr">
        <is>
          <t>是</t>
        </is>
      </c>
      <c r="H33" s="14" t="inlineStr"/>
    </row>
    <row r="34">
      <c r="A34" s="17" t="n"/>
      <c r="B34" s="17" t="n"/>
      <c r="C34" s="14" t="inlineStr">
        <is>
          <t>挑战互动</t>
        </is>
      </c>
      <c r="D34" s="14" t="inlineStr">
        <is>
          <t>点赞 + 留言（1:1 私信）</t>
        </is>
      </c>
      <c r="E34" s="6" t="inlineStr">
        <is>
          <t>T9</t>
        </is>
      </c>
      <c r="F34" s="36" t="inlineStr">
        <is>
          <t>是</t>
        </is>
      </c>
      <c r="G34" s="37" t="inlineStr">
        <is>
          <t>否</t>
        </is>
      </c>
      <c r="H34" s="14" t="inlineStr"/>
    </row>
    <row r="35">
      <c r="A35" s="19" t="inlineStr">
        <is>
          <t>关心</t>
        </is>
      </c>
      <c r="B35" s="13" t="inlineStr">
        <is>
          <t>关系体系</t>
        </is>
      </c>
      <c r="C35" s="14" t="inlineStr">
        <is>
          <t>陌生人关系</t>
        </is>
      </c>
      <c r="D35" s="14" t="inlineStr">
        <is>
          <t>互未加好友；仅 C1.B 发现 Tab 可见；C5 陌生人视角</t>
        </is>
      </c>
      <c r="E35" s="6" t="inlineStr">
        <is>
          <t>C1.B / C5</t>
        </is>
      </c>
      <c r="F35" s="36" t="inlineStr">
        <is>
          <t>是</t>
        </is>
      </c>
      <c r="G35" s="36" t="inlineStr">
        <is>
          <t>是</t>
        </is>
      </c>
      <c r="H35" s="14" t="inlineStr"/>
    </row>
    <row r="36">
      <c r="A36" s="16" t="n"/>
      <c r="B36" s="16" t="n"/>
      <c r="C36" s="14" t="inlineStr">
        <is>
          <t>好友关系</t>
        </is>
      </c>
      <c r="D36" s="14" t="inlineStr">
        <is>
          <t>互看动态；C1.A / C1.C / C2 / C5 完整可见</t>
        </is>
      </c>
      <c r="E36" s="6" t="inlineStr">
        <is>
          <t>业务规则</t>
        </is>
      </c>
      <c r="F36" s="36" t="inlineStr">
        <is>
          <t>是</t>
        </is>
      </c>
      <c r="G36" s="36" t="inlineStr">
        <is>
          <t>是</t>
        </is>
      </c>
      <c r="H36" s="14" t="inlineStr"/>
    </row>
    <row r="37">
      <c r="A37" s="16" t="n"/>
      <c r="B37" s="17" t="n"/>
      <c r="C37" s="14" t="inlineStr">
        <is>
          <t>特别关心</t>
        </is>
      </c>
      <c r="D37" s="14" t="inlineStr">
        <is>
          <t>好友之上的单向标记；TA 发动态触发系统通知；最多 20 位</t>
        </is>
      </c>
      <c r="E37" s="6" t="inlineStr">
        <is>
          <t>C5.1</t>
        </is>
      </c>
      <c r="F37" s="36" t="inlineStr">
        <is>
          <t>是</t>
        </is>
      </c>
      <c r="G37" s="36" t="inlineStr">
        <is>
          <t>是</t>
        </is>
      </c>
      <c r="H37" s="14" t="inlineStr"/>
    </row>
    <row r="38">
      <c r="A38" s="16" t="n"/>
      <c r="B38" s="13" t="inlineStr">
        <is>
          <t>关心首页</t>
        </is>
      </c>
      <c r="C38" s="14" t="inlineStr">
        <is>
          <t>TOP 3 排行榜卡</t>
        </is>
      </c>
      <c r="D38" s="14" t="inlineStr">
        <is>
          <t>颁奖台 + 自己位置；缺好友以"邀请"占位</t>
        </is>
      </c>
      <c r="E38" s="6" t="inlineStr">
        <is>
          <t>C1.1</t>
        </is>
      </c>
      <c r="F38" s="36" t="inlineStr">
        <is>
          <t>是</t>
        </is>
      </c>
      <c r="G38" s="36" t="inlineStr">
        <is>
          <t>是</t>
        </is>
      </c>
      <c r="H38" s="14" t="inlineStr"/>
    </row>
    <row r="39">
      <c r="A39" s="16" t="n"/>
      <c r="B39" s="16" t="n"/>
      <c r="C39" s="14" t="inlineStr">
        <is>
          <t>好友动态 Tab</t>
        </is>
      </c>
      <c r="D39" s="14" t="inlineStr">
        <is>
          <t>时间倒序；脱敏动态卡（不展示原始数值）</t>
        </is>
      </c>
      <c r="E39" s="6" t="inlineStr">
        <is>
          <t>C1.A</t>
        </is>
      </c>
      <c r="F39" s="36" t="inlineStr">
        <is>
          <t>是</t>
        </is>
      </c>
      <c r="G39" s="36" t="inlineStr">
        <is>
          <t>是</t>
        </is>
      </c>
      <c r="H39" s="14" t="inlineStr"/>
    </row>
    <row r="40">
      <c r="A40" s="16" t="n"/>
      <c r="B40" s="16" t="n"/>
      <c r="C40" s="14" t="inlineStr">
        <is>
          <t>发现 Tab</t>
        </is>
      </c>
      <c r="D40" s="14" t="inlineStr">
        <is>
          <t>附近推荐（默认关闭）+ 隐私横幅</t>
        </is>
      </c>
      <c r="E40" s="6" t="inlineStr">
        <is>
          <t>C1.B</t>
        </is>
      </c>
      <c r="F40" s="36" t="inlineStr">
        <is>
          <t>是</t>
        </is>
      </c>
      <c r="G40" s="36" t="inlineStr">
        <is>
          <t>是</t>
        </is>
      </c>
      <c r="H40" s="14" t="inlineStr"/>
    </row>
    <row r="41">
      <c r="A41" s="16" t="n"/>
      <c r="B41" s="17" t="n"/>
      <c r="C41" s="14" t="inlineStr">
        <is>
          <t>我的好友 Tab</t>
        </is>
      </c>
      <c r="D41" s="14" t="inlineStr">
        <is>
          <t>好友总览 + 添加 / 通知 / 关心设置入口 + 特别关心分组</t>
        </is>
      </c>
      <c r="E41" s="6" t="inlineStr">
        <is>
          <t>C1.C</t>
        </is>
      </c>
      <c r="F41" s="36" t="inlineStr">
        <is>
          <t>是</t>
        </is>
      </c>
      <c r="G41" s="36" t="inlineStr">
        <is>
          <t>是</t>
        </is>
      </c>
      <c r="H41" s="14" t="inlineStr"/>
    </row>
    <row r="42">
      <c r="A42" s="16" t="n"/>
      <c r="B42" s="13" t="inlineStr">
        <is>
          <t>好友动态</t>
        </is>
      </c>
      <c r="C42" s="14" t="inlineStr">
        <is>
          <t>动态自动发送 · 今日挑战</t>
        </is>
      </c>
      <c r="D42" s="14" t="inlineStr">
        <is>
          <t>完成时发 1 条；7 项挑战逐项可在关心设置中开关</t>
        </is>
      </c>
      <c r="E42" s="6" t="inlineStr">
        <is>
          <t>C1.A / P5.care</t>
        </is>
      </c>
      <c r="F42" s="36" t="inlineStr">
        <is>
          <t>是</t>
        </is>
      </c>
      <c r="G42" s="36" t="inlineStr">
        <is>
          <t>是</t>
        </is>
      </c>
      <c r="H42" s="14" t="inlineStr"/>
    </row>
    <row r="43" ht="31" customHeight="1">
      <c r="A43" s="16" t="n"/>
      <c r="B43" s="16" t="n"/>
      <c r="C43" s="14" t="inlineStr">
        <is>
          <t>动态自动发送 · 维度挑战</t>
        </is>
      </c>
      <c r="D43" s="14" t="inlineStr">
        <is>
          <t>加入 / 25% / 50% / 75% / 100% 五里程碑发；可在关心设置中开关时机</t>
        </is>
      </c>
      <c r="E43" s="6" t="inlineStr">
        <is>
          <t>C1.A / P5.care</t>
        </is>
      </c>
      <c r="F43" s="36" t="inlineStr">
        <is>
          <t>是</t>
        </is>
      </c>
      <c r="G43" s="36" t="inlineStr">
        <is>
          <t>是</t>
        </is>
      </c>
      <c r="H43" s="14" t="inlineStr"/>
    </row>
    <row r="44">
      <c r="A44" s="16" t="n"/>
      <c r="B44" s="16" t="n"/>
      <c r="C44" s="14" t="inlineStr">
        <is>
          <t>点赞动态</t>
        </is>
      </c>
      <c r="D44" s="14" t="inlineStr">
        <is>
          <t>+3 XP，每日上限 60 XP；可取消（扣回）</t>
        </is>
      </c>
      <c r="E44" s="6" t="inlineStr">
        <is>
          <t>C1.A</t>
        </is>
      </c>
      <c r="F44" s="36" t="inlineStr">
        <is>
          <t>是</t>
        </is>
      </c>
      <c r="G44" s="36" t="inlineStr">
        <is>
          <t>是</t>
        </is>
      </c>
      <c r="H44" s="14" t="inlineStr"/>
    </row>
    <row r="45">
      <c r="A45" s="16" t="n"/>
      <c r="B45" s="16" t="n"/>
      <c r="C45" s="14" t="inlineStr">
        <is>
          <t>评论动态</t>
        </is>
      </c>
      <c r="D45" s="14" t="inlineStr">
        <is>
          <t>+5 XP，每日上限 30 XP；内联输入 + 引用回复</t>
        </is>
      </c>
      <c r="E45" s="6" t="inlineStr">
        <is>
          <t>C1.A</t>
        </is>
      </c>
      <c r="F45" s="36" t="inlineStr">
        <is>
          <t>是</t>
        </is>
      </c>
      <c r="G45" s="36" t="inlineStr">
        <is>
          <t>是</t>
        </is>
      </c>
      <c r="H45" s="14" t="inlineStr"/>
    </row>
    <row r="46">
      <c r="A46" s="16" t="n"/>
      <c r="B46" s="17" t="n"/>
      <c r="C46" s="14" t="inlineStr">
        <is>
          <t>动态发送策略</t>
        </is>
      </c>
      <c r="D46" s="14" t="inlineStr">
        <is>
          <t>同一里程碑只发 1 次；7 项今日挑战逐项可控；5 时机多选</t>
        </is>
      </c>
      <c r="E46" s="6" t="inlineStr">
        <is>
          <t>P5.care</t>
        </is>
      </c>
      <c r="F46" s="36" t="inlineStr">
        <is>
          <t>是</t>
        </is>
      </c>
      <c r="G46" s="36" t="inlineStr">
        <is>
          <t>是</t>
        </is>
      </c>
      <c r="H46" s="14" t="inlineStr"/>
    </row>
    <row r="47">
      <c r="A47" s="16" t="n"/>
      <c r="B47" s="13" t="inlineStr">
        <is>
          <t>添加好友</t>
        </is>
      </c>
      <c r="C47" s="14" t="inlineStr">
        <is>
          <t>邀请码 AIR-XXXXXX</t>
        </is>
      </c>
      <c r="D47" s="14" t="inlineStr">
        <is>
          <t>永久有效；点击复制</t>
        </is>
      </c>
      <c r="E47" s="6" t="inlineStr">
        <is>
          <t>C3</t>
        </is>
      </c>
      <c r="F47" s="36" t="inlineStr">
        <is>
          <t>是</t>
        </is>
      </c>
      <c r="G47" s="36" t="inlineStr">
        <is>
          <t>是</t>
        </is>
      </c>
      <c r="H47" s="14" t="inlineStr"/>
    </row>
    <row r="48">
      <c r="A48" s="16" t="n"/>
      <c r="B48" s="16" t="n"/>
      <c r="C48" s="14" t="inlineStr">
        <is>
          <t>复制邀请链接</t>
        </is>
      </c>
      <c r="D48" s="14" t="inlineStr">
        <is>
          <t>一键复制完整邀请文案</t>
        </is>
      </c>
      <c r="E48" s="6" t="inlineStr">
        <is>
          <t>C3</t>
        </is>
      </c>
      <c r="F48" s="36" t="inlineStr">
        <is>
          <t>是</t>
        </is>
      </c>
      <c r="G48" s="36" t="inlineStr">
        <is>
          <t>是</t>
        </is>
      </c>
      <c r="H48" s="14" t="inlineStr"/>
    </row>
    <row r="49" ht="31" customHeight="1">
      <c r="A49" s="16" t="n"/>
      <c r="B49" s="16" t="n"/>
      <c r="C49" s="14" t="inlineStr">
        <is>
          <t>发送微信</t>
        </is>
      </c>
      <c r="D49" s="14" t="inlineStr">
        <is>
          <t>调用微信接口选择联系人 + 发送确认 + 已发送页</t>
        </is>
      </c>
      <c r="E49" s="6" t="inlineStr">
        <is>
          <t>C3.1 / C3.1.a / C3.1.b / C3.3</t>
        </is>
      </c>
      <c r="F49" s="36" t="inlineStr">
        <is>
          <t>是</t>
        </is>
      </c>
      <c r="G49" s="36" t="inlineStr">
        <is>
          <t>是</t>
        </is>
      </c>
      <c r="H49" s="14" t="inlineStr"/>
    </row>
    <row r="50">
      <c r="A50" s="16" t="n"/>
      <c r="B50" s="16" t="n"/>
      <c r="C50" s="14" t="inlineStr">
        <is>
          <t>发送朋友圈</t>
        </is>
      </c>
      <c r="D50" s="14" t="inlineStr">
        <is>
          <t>调用微信朋友圈发布页 + 预填邀请文案</t>
        </is>
      </c>
      <c r="E50" s="6" t="inlineStr">
        <is>
          <t>C3.2</t>
        </is>
      </c>
      <c r="F50" s="36" t="inlineStr">
        <is>
          <t>是</t>
        </is>
      </c>
      <c r="G50" s="37" t="inlineStr">
        <is>
          <t>否</t>
        </is>
      </c>
      <c r="H50" s="14" t="inlineStr"/>
    </row>
    <row r="51">
      <c r="A51" s="16" t="n"/>
      <c r="B51" s="16" t="n"/>
      <c r="C51" s="14" t="inlineStr">
        <is>
          <t>剪贴板自动识别</t>
        </is>
      </c>
      <c r="D51" s="14" t="inlineStr">
        <is>
          <t>冷启动检测 AIR-XXXXXX 模式 + 500ms 过渡识别 + 二次确认</t>
        </is>
      </c>
      <c r="E51" s="6" t="inlineStr">
        <is>
          <t>C3.4 / C3.2.a</t>
        </is>
      </c>
      <c r="F51" s="36" t="inlineStr">
        <is>
          <t>是</t>
        </is>
      </c>
      <c r="G51" s="36" t="inlineStr">
        <is>
          <t>是</t>
        </is>
      </c>
      <c r="H51" s="14" t="inlineStr"/>
    </row>
    <row r="52">
      <c r="A52" s="16" t="n"/>
      <c r="B52" s="17" t="n"/>
      <c r="C52" s="14" t="inlineStr">
        <is>
          <t>输入邀请码/手机号添加好友</t>
        </is>
      </c>
      <c r="D52" s="14" t="inlineStr">
        <is>
          <t>输入邀请码直接添加，输入手机号需要对方同意</t>
        </is>
      </c>
      <c r="E52" s="6" t="inlineStr">
        <is>
          <t>C3 / C3.2.a</t>
        </is>
      </c>
      <c r="F52" s="36" t="inlineStr">
        <is>
          <t>是</t>
        </is>
      </c>
      <c r="G52" s="36" t="inlineStr">
        <is>
          <t>是</t>
        </is>
      </c>
      <c r="H52" s="14" t="inlineStr"/>
    </row>
    <row r="53">
      <c r="A53" s="16" t="n"/>
      <c r="B53" s="13" t="inlineStr">
        <is>
          <t>附近推荐</t>
        </is>
      </c>
      <c r="C53" s="14" t="inlineStr">
        <is>
          <t>总开关</t>
        </is>
      </c>
      <c r="D53" s="14" t="inlineStr">
        <is>
          <t>默认关闭（隐私优先）；单一开关同时控制"被发现 + 发现别人"</t>
        </is>
      </c>
      <c r="E53" s="6" t="inlineStr">
        <is>
          <t>C1.B / P5.care</t>
        </is>
      </c>
      <c r="F53" s="36" t="inlineStr">
        <is>
          <t>是</t>
        </is>
      </c>
      <c r="G53" s="36" t="inlineStr">
        <is>
          <t>是</t>
        </is>
      </c>
      <c r="H53" s="14" t="inlineStr"/>
    </row>
    <row r="54">
      <c r="A54" s="16" t="n"/>
      <c r="B54" s="16" t="n"/>
      <c r="C54" s="14" t="inlineStr">
        <is>
          <t>推荐算法</t>
        </is>
      </c>
      <c r="D54" s="14" t="inlineStr">
        <is>
          <t>App 端内置：距离 60% + 共同挑战 30% + 近 7 天活跃度 10%</t>
        </is>
      </c>
      <c r="E54" s="6" t="inlineStr">
        <is>
          <t>C1.B</t>
        </is>
      </c>
      <c r="F54" s="36" t="inlineStr">
        <is>
          <t>是</t>
        </is>
      </c>
      <c r="G54" s="36" t="inlineStr">
        <is>
          <t>是</t>
        </is>
      </c>
      <c r="H54" s="14" t="inlineStr"/>
    </row>
    <row r="55">
      <c r="A55" s="16" t="n"/>
      <c r="B55" s="16" t="n"/>
      <c r="C55" s="14" t="inlineStr">
        <is>
          <t>位置精度脱敏</t>
        </is>
      </c>
      <c r="D55" s="14" t="inlineStr">
        <is>
          <t>最小 1 km，永不暴露精确位置</t>
        </is>
      </c>
      <c r="E55" s="6" t="inlineStr">
        <is>
          <t>C1.B / 业务规则</t>
        </is>
      </c>
      <c r="F55" s="36" t="inlineStr">
        <is>
          <t>是</t>
        </is>
      </c>
      <c r="G55" s="36" t="inlineStr">
        <is>
          <t>是</t>
        </is>
      </c>
      <c r="H55" s="14" t="inlineStr"/>
    </row>
    <row r="56">
      <c r="A56" s="16" t="n"/>
      <c r="B56" s="17" t="n"/>
      <c r="C56" s="14" t="inlineStr">
        <is>
          <t>请求好友 XP 上限</t>
        </is>
      </c>
      <c r="D56" s="14" t="inlineStr">
        <is>
          <t>+10 XP / 次，每日上限 50 XP（5 次）</t>
        </is>
      </c>
      <c r="E56" s="6" t="inlineStr">
        <is>
          <t>C1.B / 业务规则</t>
        </is>
      </c>
      <c r="F56" s="36" t="inlineStr">
        <is>
          <t>是</t>
        </is>
      </c>
      <c r="G56" s="36" t="inlineStr">
        <is>
          <t>是</t>
        </is>
      </c>
      <c r="H56" s="14" t="inlineStr"/>
    </row>
    <row r="57" ht="20" customHeight="1">
      <c r="A57" s="16" t="n"/>
      <c r="B57" s="13" t="inlineStr">
        <is>
          <t>好友 XP 排行榜</t>
        </is>
      </c>
      <c r="C57" s="14" t="inlineStr">
        <is>
          <t>完整好友列表</t>
        </is>
      </c>
      <c r="D57" s="14" t="inlineStr">
        <is>
          <t>按 XP 降序；自己置顶汇总</t>
        </is>
      </c>
      <c r="E57" s="6" t="inlineStr">
        <is>
          <t>C2</t>
        </is>
      </c>
      <c r="F57" s="36" t="inlineStr">
        <is>
          <t>是</t>
        </is>
      </c>
      <c r="G57" s="36" t="inlineStr">
        <is>
          <t>是</t>
        </is>
      </c>
      <c r="H57" s="14" t="inlineStr"/>
    </row>
    <row r="58" ht="25" customHeight="1">
      <c r="A58" s="16" t="n"/>
      <c r="B58" s="17" t="n"/>
      <c r="C58" s="14" t="inlineStr">
        <is>
          <t>今日 / 累计 XP</t>
        </is>
      </c>
      <c r="D58" s="14" t="inlineStr">
        <is>
          <t>每周一凌晨重置今日；累计永不重置</t>
        </is>
      </c>
      <c r="E58" s="6" t="inlineStr">
        <is>
          <t>C2</t>
        </is>
      </c>
      <c r="F58" s="36" t="inlineStr">
        <is>
          <t>是</t>
        </is>
      </c>
      <c r="G58" s="36" t="inlineStr">
        <is>
          <t>是</t>
        </is>
      </c>
      <c r="H58" s="14" t="inlineStr"/>
    </row>
    <row r="59">
      <c r="A59" s="16" t="n"/>
      <c r="B59" s="13" t="inlineStr">
        <is>
          <t>好友通知</t>
        </is>
      </c>
      <c r="C59" s="14" t="inlineStr">
        <is>
          <t>待我同意</t>
        </is>
      </c>
      <c r="D59" s="14" t="inlineStr">
        <is>
          <t>同意 +20 XP / 忽略</t>
        </is>
      </c>
      <c r="E59" s="6" t="inlineStr">
        <is>
          <t>C4</t>
        </is>
      </c>
      <c r="F59" s="36" t="inlineStr">
        <is>
          <t>是</t>
        </is>
      </c>
      <c r="G59" s="37" t="inlineStr">
        <is>
          <t>否</t>
        </is>
      </c>
      <c r="H59" s="14" t="inlineStr"/>
    </row>
    <row r="60">
      <c r="A60" s="16" t="n"/>
      <c r="B60" s="16" t="n"/>
      <c r="C60" s="14" t="inlineStr">
        <is>
          <t>我发送的</t>
        </is>
      </c>
      <c r="D60" s="14" t="inlineStr">
        <is>
          <t>撤回操作</t>
        </is>
      </c>
      <c r="E60" s="6" t="inlineStr">
        <is>
          <t>C4</t>
        </is>
      </c>
      <c r="F60" s="36" t="inlineStr">
        <is>
          <t>是</t>
        </is>
      </c>
      <c r="G60" s="37" t="inlineStr">
        <is>
          <t>否</t>
        </is>
      </c>
      <c r="H60" s="14" t="inlineStr"/>
    </row>
    <row r="61">
      <c r="A61" s="16" t="n"/>
      <c r="B61" s="17" t="n"/>
      <c r="C61" s="14" t="inlineStr">
        <is>
          <t>通过邀请码加入</t>
        </is>
      </c>
      <c r="D61" s="14" t="inlineStr">
        <is>
          <t>👋 打招呼</t>
        </is>
      </c>
      <c r="E61" s="6" t="inlineStr">
        <is>
          <t>C4</t>
        </is>
      </c>
      <c r="F61" s="36" t="inlineStr">
        <is>
          <t>是</t>
        </is>
      </c>
      <c r="G61" s="37" t="inlineStr">
        <is>
          <t>否</t>
        </is>
      </c>
      <c r="H61" s="14" t="inlineStr"/>
    </row>
    <row r="62">
      <c r="A62" s="16" t="n"/>
      <c r="B62" s="13" t="inlineStr">
        <is>
          <t>个人主页</t>
        </is>
      </c>
      <c r="C62" s="14" t="inlineStr">
        <is>
          <t>陌生人视角</t>
        </is>
      </c>
      <c r="D62" s="14" t="inlineStr">
        <is>
          <t>仅头像 + 昵称 + 加为好友 CTA；动态/数据全隐藏</t>
        </is>
      </c>
      <c r="E62" s="6" t="inlineStr">
        <is>
          <t>C5</t>
        </is>
      </c>
      <c r="F62" s="36" t="inlineStr">
        <is>
          <t>是</t>
        </is>
      </c>
      <c r="G62" s="37" t="inlineStr">
        <is>
          <t>否</t>
        </is>
      </c>
      <c r="H62" s="14" t="inlineStr">
        <is>
          <t>点击发现里面的用户头像，无法进入主页</t>
        </is>
      </c>
    </row>
    <row r="63">
      <c r="A63" s="16" t="n"/>
      <c r="B63" s="16" t="n"/>
      <c r="C63" s="14" t="inlineStr">
        <is>
          <t>好友视角</t>
        </is>
      </c>
      <c r="D63" s="14" t="inlineStr">
        <is>
          <t>完整 Profile + 健康标签 + 数据三联 + 挑战动态</t>
        </is>
      </c>
      <c r="E63" s="6" t="inlineStr">
        <is>
          <t>C5</t>
        </is>
      </c>
      <c r="F63" s="36" t="inlineStr">
        <is>
          <t>是</t>
        </is>
      </c>
      <c r="G63" s="36" t="inlineStr">
        <is>
          <t>是</t>
        </is>
      </c>
      <c r="H63" s="14" t="inlineStr"/>
    </row>
    <row r="64">
      <c r="A64" s="16" t="n"/>
      <c r="B64" s="16" t="n"/>
      <c r="C64" s="14" t="inlineStr">
        <is>
          <t>特别关心视角</t>
        </is>
      </c>
      <c r="D64" s="14" t="inlineStr">
        <is>
          <t>与好友一致 + 昵称旁特别关心标签</t>
        </is>
      </c>
      <c r="E64" s="6" t="inlineStr">
        <is>
          <t>C5</t>
        </is>
      </c>
      <c r="F64" s="36" t="inlineStr">
        <is>
          <t>是</t>
        </is>
      </c>
      <c r="G64" s="36" t="inlineStr">
        <is>
          <t>是</t>
        </is>
      </c>
      <c r="H64" s="14" t="inlineStr"/>
    </row>
    <row r="65">
      <c r="A65" s="16" t="n"/>
      <c r="B65" s="16" t="n"/>
      <c r="C65" s="14" t="inlineStr">
        <is>
          <t>特别关心开关</t>
        </is>
      </c>
      <c r="D65" s="14" t="inlineStr">
        <is>
          <t>即时切换，多处联动</t>
        </is>
      </c>
      <c r="E65" s="6" t="inlineStr">
        <is>
          <t>C5.1</t>
        </is>
      </c>
      <c r="F65" s="36" t="inlineStr">
        <is>
          <t>是</t>
        </is>
      </c>
      <c r="G65" s="36" t="inlineStr">
        <is>
          <t>是</t>
        </is>
      </c>
      <c r="H65" s="14" t="inlineStr"/>
    </row>
    <row r="66">
      <c r="A66" s="16" t="n"/>
      <c r="B66" s="16" t="n"/>
      <c r="C66" s="14" t="inlineStr">
        <is>
          <t>删除好友</t>
        </is>
      </c>
      <c r="D66" s="14" t="inlineStr">
        <is>
          <t>破坏性二次确认</t>
        </is>
      </c>
      <c r="E66" s="6" t="inlineStr">
        <is>
          <t>C5.1 / C5.2</t>
        </is>
      </c>
      <c r="F66" s="36" t="inlineStr">
        <is>
          <t>是</t>
        </is>
      </c>
      <c r="G66" s="36" t="inlineStr">
        <is>
          <t>是</t>
        </is>
      </c>
      <c r="H66" s="14" t="inlineStr"/>
    </row>
    <row r="67">
      <c r="A67" s="16" t="n"/>
      <c r="B67" s="17" t="n"/>
      <c r="C67" s="14" t="inlineStr">
        <is>
          <t>备注好友</t>
        </is>
      </c>
      <c r="D67" s="14" t="inlineStr">
        <is>
          <t>≤ 8 字本地备注</t>
        </is>
      </c>
      <c r="E67" s="6" t="inlineStr">
        <is>
          <t>C5</t>
        </is>
      </c>
      <c r="F67" s="36" t="inlineStr">
        <is>
          <t>是</t>
        </is>
      </c>
      <c r="G67" s="36" t="inlineStr">
        <is>
          <t>是</t>
        </is>
      </c>
      <c r="H67" s="14" t="inlineStr"/>
    </row>
    <row r="68" ht="34" customHeight="1">
      <c r="A68" s="17" t="n"/>
      <c r="B68" s="13" t="inlineStr">
        <is>
          <t>我的动态（自己）</t>
        </is>
      </c>
      <c r="C68" s="14" t="inlineStr">
        <is>
          <t>自己动态汇总</t>
        </is>
      </c>
      <c r="D68" s="14" t="inlineStr">
        <is>
          <t>与 C1.A / C5 同源；不计入好友流避免自刷</t>
        </is>
      </c>
      <c r="E68" s="6" t="inlineStr">
        <is>
          <t>C-Me</t>
        </is>
      </c>
      <c r="F68" s="36" t="inlineStr">
        <is>
          <t>是</t>
        </is>
      </c>
      <c r="G68" s="36" t="inlineStr">
        <is>
          <t>是</t>
        </is>
      </c>
      <c r="H68" s="14" t="inlineStr"/>
    </row>
    <row r="69">
      <c r="A69" s="20" t="inlineStr">
        <is>
          <t>个人中心</t>
        </is>
      </c>
      <c r="B69" s="13" t="inlineStr">
        <is>
          <t>登录注册</t>
        </is>
      </c>
      <c r="C69" s="14" t="inlineStr">
        <is>
          <t>短信验证码登录</t>
        </is>
      </c>
      <c r="D69" s="14" t="inlineStr">
        <is>
          <t>手机号 11 位 + 协议同意 + 60 秒倒计时</t>
        </is>
      </c>
      <c r="E69" s="6" t="inlineStr">
        <is>
          <t>P1.1 / P2</t>
        </is>
      </c>
      <c r="F69" s="36" t="inlineStr">
        <is>
          <t>是</t>
        </is>
      </c>
      <c r="G69" s="36" t="inlineStr">
        <is>
          <t>是</t>
        </is>
      </c>
      <c r="H69" s="14" t="inlineStr"/>
    </row>
    <row r="70">
      <c r="A70" s="16" t="n"/>
      <c r="B70" s="16" t="n"/>
      <c r="C70" s="14" t="inlineStr">
        <is>
          <t>密码登录</t>
        </is>
      </c>
      <c r="D70" s="14" t="inlineStr">
        <is>
          <t>手机号 + 密码；连续失败 5 次锁定 10 分钟</t>
        </is>
      </c>
      <c r="E70" s="6" t="inlineStr">
        <is>
          <t>P1.2</t>
        </is>
      </c>
      <c r="F70" s="36" t="inlineStr">
        <is>
          <t>是</t>
        </is>
      </c>
      <c r="G70" s="36" t="inlineStr">
        <is>
          <t>是</t>
        </is>
      </c>
      <c r="H70" s="14" t="inlineStr"/>
    </row>
    <row r="71">
      <c r="A71" s="16" t="n"/>
      <c r="B71" s="16" t="n"/>
      <c r="C71" s="14" t="inlineStr">
        <is>
          <t>注册（自动）</t>
        </is>
      </c>
      <c r="D71" s="14" t="inlineStr">
        <is>
          <t>未注册手机号验证后自动创建账号 → P3 设密 → P4 完善资料</t>
        </is>
      </c>
      <c r="E71" s="6" t="inlineStr">
        <is>
          <t>P2 / P3 / P4</t>
        </is>
      </c>
      <c r="F71" s="36" t="inlineStr">
        <is>
          <t>是</t>
        </is>
      </c>
      <c r="G71" s="37" t="inlineStr">
        <is>
          <t>否</t>
        </is>
      </c>
      <c r="H71" s="14" t="inlineStr">
        <is>
          <t>首次手机号登录时，还没做设置密码</t>
        </is>
      </c>
    </row>
    <row r="72">
      <c r="A72" s="16" t="n"/>
      <c r="B72" s="16" t="n"/>
      <c r="C72" s="14" t="inlineStr">
        <is>
          <t>忘记密码</t>
        </is>
      </c>
      <c r="D72" s="14" t="inlineStr">
        <is>
          <t>复用 P1.1/P2/P3 步骤序列</t>
        </is>
      </c>
      <c r="E72" s="6" t="inlineStr">
        <is>
          <t>P-FORGOT</t>
        </is>
      </c>
      <c r="F72" s="36" t="inlineStr">
        <is>
          <t>是</t>
        </is>
      </c>
      <c r="G72" s="36" t="inlineStr">
        <is>
          <t>是</t>
        </is>
      </c>
      <c r="H72" s="14" t="inlineStr"/>
    </row>
    <row r="73" ht="31" customHeight="1">
      <c r="A73" s="16" t="n"/>
      <c r="B73" s="16" t="n"/>
      <c r="C73" s="14" t="inlineStr">
        <is>
          <t>完善个人资料</t>
        </is>
      </c>
      <c r="D73" s="14" t="inlineStr">
        <is>
          <t>头像 + 昵称（必填）+ 年龄 / 身高 / 体重 + 健康标签</t>
        </is>
      </c>
      <c r="E73" s="6" t="inlineStr">
        <is>
          <t>P4</t>
        </is>
      </c>
      <c r="F73" s="36" t="inlineStr">
        <is>
          <t>是</t>
        </is>
      </c>
      <c r="G73" s="37" t="inlineStr">
        <is>
          <t>否</t>
        </is>
      </c>
      <c r="H73" s="14" t="inlineStr">
        <is>
          <t>这个还没做，登录时检查到个人资料不全引导补充</t>
        </is>
      </c>
    </row>
    <row r="74">
      <c r="A74" s="16" t="n"/>
      <c r="B74" s="16" t="n"/>
      <c r="C74" s="14" t="inlineStr">
        <is>
          <t>登录前置策略</t>
        </is>
      </c>
      <c r="D74" s="14" t="inlineStr">
        <is>
          <t>未登录无法查看任何业务内容，必须先登录</t>
        </is>
      </c>
      <c r="E74" s="6" t="inlineStr">
        <is>
          <t>业务规则</t>
        </is>
      </c>
      <c r="F74" s="36" t="inlineStr">
        <is>
          <t>是</t>
        </is>
      </c>
      <c r="G74" s="36" t="inlineStr">
        <is>
          <t>是</t>
        </is>
      </c>
      <c r="H74" s="14" t="inlineStr"/>
    </row>
    <row r="75">
      <c r="A75" s="16" t="n"/>
      <c r="B75" s="17" t="n"/>
      <c r="C75" s="14" t="inlineStr">
        <is>
          <t>退出登录</t>
        </is>
      </c>
      <c r="D75" s="14" t="inlineStr">
        <is>
          <t>破坏性二次确认 + 清本地缓存</t>
        </is>
      </c>
      <c r="E75" s="6" t="inlineStr">
        <is>
          <t>P5.5</t>
        </is>
      </c>
      <c r="F75" s="36" t="inlineStr">
        <is>
          <t>是</t>
        </is>
      </c>
      <c r="G75" s="36" t="inlineStr">
        <is>
          <t>是</t>
        </is>
      </c>
      <c r="H75" s="14" t="inlineStr"/>
    </row>
    <row r="76">
      <c r="A76" s="16" t="n"/>
      <c r="B76" s="13" t="inlineStr">
        <is>
          <t>个人资料</t>
        </is>
      </c>
      <c r="C76" s="14" t="inlineStr">
        <is>
          <t>头像选择器</t>
        </is>
      </c>
      <c r="D76" s="14" t="inlineStr">
        <is>
          <t>5×4 默认头像网格（20 款）；支持上传自定义头像</t>
        </is>
      </c>
      <c r="E76" s="6" t="inlineStr">
        <is>
          <t>P5.2</t>
        </is>
      </c>
      <c r="F76" s="36" t="inlineStr">
        <is>
          <t>是</t>
        </is>
      </c>
      <c r="G76" s="36" t="inlineStr">
        <is>
          <t>是</t>
        </is>
      </c>
      <c r="H76" s="14" t="inlineStr"/>
    </row>
    <row r="77">
      <c r="A77" s="16" t="n"/>
      <c r="B77" s="16" t="n"/>
      <c r="C77" s="14" t="inlineStr">
        <is>
          <t>昵称编辑</t>
        </is>
      </c>
      <c r="D77" s="14" t="inlineStr">
        <is>
          <t>≤ 16 字</t>
        </is>
      </c>
      <c r="E77" s="6" t="inlineStr">
        <is>
          <t>P5.3</t>
        </is>
      </c>
      <c r="F77" s="36" t="inlineStr">
        <is>
          <t>是</t>
        </is>
      </c>
      <c r="G77" s="36" t="inlineStr">
        <is>
          <t>是</t>
        </is>
      </c>
      <c r="H77" s="14" t="inlineStr"/>
    </row>
    <row r="78">
      <c r="A78" s="16" t="n"/>
      <c r="B78" s="16" t="n"/>
      <c r="C78" s="14" t="inlineStr">
        <is>
          <t>年龄 / 身高 / 体重/性别</t>
        </is>
      </c>
      <c r="D78" s="14" t="inlineStr">
        <is>
          <t>滚轮选择器</t>
        </is>
      </c>
      <c r="E78" s="6" t="inlineStr">
        <is>
          <t>P5 / P5.1</t>
        </is>
      </c>
      <c r="F78" s="36" t="inlineStr">
        <is>
          <t>是</t>
        </is>
      </c>
      <c r="G78" s="36" t="inlineStr">
        <is>
          <t>是</t>
        </is>
      </c>
      <c r="H78" s="14" t="inlineStr"/>
    </row>
    <row r="79">
      <c r="A79" s="16" t="n"/>
      <c r="B79" s="17" t="n"/>
      <c r="C79" s="14" t="inlineStr">
        <is>
          <t>健康标签</t>
        </is>
      </c>
      <c r="D79" s="14" t="inlineStr">
        <is>
          <t>多选 chips；仅本人可见；不参与附近推荐</t>
        </is>
      </c>
      <c r="E79" s="6" t="inlineStr">
        <is>
          <t>P5</t>
        </is>
      </c>
      <c r="F79" s="36" t="inlineStr">
        <is>
          <t>是</t>
        </is>
      </c>
      <c r="G79" s="36" t="inlineStr">
        <is>
          <t>是</t>
        </is>
      </c>
      <c r="H79" s="14" t="inlineStr"/>
    </row>
    <row r="80">
      <c r="A80" s="16" t="n"/>
      <c r="B80" s="13" t="inlineStr">
        <is>
          <t>关心设置</t>
        </is>
      </c>
      <c r="C80" s="14" t="inlineStr">
        <is>
          <t>社交标签</t>
        </is>
      </c>
      <c r="D80" s="14" t="inlineStr">
        <is>
          <t>基于当前挑战自动生成，不可改</t>
        </is>
      </c>
      <c r="E80" s="6" t="inlineStr">
        <is>
          <t>P5.care</t>
        </is>
      </c>
      <c r="F80" s="36" t="inlineStr">
        <is>
          <t>是</t>
        </is>
      </c>
      <c r="G80" s="36" t="inlineStr">
        <is>
          <t>是</t>
        </is>
      </c>
      <c r="H80" s="14" t="inlineStr"/>
    </row>
    <row r="81" ht="31" customHeight="1">
      <c r="A81" s="16" t="n"/>
      <c r="B81" s="16" t="n"/>
      <c r="C81" s="14" t="inlineStr">
        <is>
          <t>完成今日挑战发动态（7 项开关）</t>
        </is>
      </c>
      <c r="D81" s="14" t="inlineStr">
        <is>
          <t>走路/睡眠/喝水默认开；消耗/站立/吃药默认关；跑步默认开</t>
        </is>
      </c>
      <c r="E81" s="6" t="inlineStr">
        <is>
          <t>P5.care</t>
        </is>
      </c>
      <c r="F81" s="36" t="inlineStr">
        <is>
          <t>是</t>
        </is>
      </c>
      <c r="G81" s="36" t="inlineStr">
        <is>
          <t>是</t>
        </is>
      </c>
      <c r="H81" s="14" t="inlineStr"/>
    </row>
    <row r="82">
      <c r="A82" s="16" t="n"/>
      <c r="B82" s="16" t="n"/>
      <c r="C82" s="14" t="inlineStr">
        <is>
          <t>维度挑战发动态</t>
        </is>
      </c>
      <c r="D82" s="14" t="inlineStr">
        <is>
          <t>总开关 + 5 时机多选；默认全开</t>
        </is>
      </c>
      <c r="E82" s="6" t="inlineStr">
        <is>
          <t>P5.care</t>
        </is>
      </c>
      <c r="F82" s="36" t="inlineStr">
        <is>
          <t>是</t>
        </is>
      </c>
      <c r="G82" s="36" t="inlineStr">
        <is>
          <t>是</t>
        </is>
      </c>
      <c r="H82" s="14" t="inlineStr"/>
    </row>
    <row r="83">
      <c r="A83" s="16" t="n"/>
      <c r="B83" s="16" t="n"/>
      <c r="C83" s="14" t="inlineStr">
        <is>
          <t>谁可以看到我的动态</t>
        </is>
      </c>
      <c r="D83" s="14" t="inlineStr">
        <is>
          <t>仅好友（默认）/ 好友 + 附近的人 / 仅自己</t>
        </is>
      </c>
      <c r="E83" s="6" t="inlineStr">
        <is>
          <t>P5.care / P5.4</t>
        </is>
      </c>
      <c r="F83" s="36" t="inlineStr">
        <is>
          <t>是</t>
        </is>
      </c>
      <c r="G83" s="36" t="inlineStr">
        <is>
          <t>是</t>
        </is>
      </c>
      <c r="H83" s="14" t="inlineStr"/>
    </row>
    <row r="84">
      <c r="A84" s="16" t="n"/>
      <c r="B84" s="17" t="n"/>
      <c r="C84" s="14" t="inlineStr">
        <is>
          <t>附近推荐</t>
        </is>
      </c>
      <c r="D84" s="14" t="inlineStr">
        <is>
          <t>单开关，默认关</t>
        </is>
      </c>
      <c r="E84" s="6" t="inlineStr">
        <is>
          <t>P5.care</t>
        </is>
      </c>
      <c r="F84" s="36" t="inlineStr">
        <is>
          <t>是</t>
        </is>
      </c>
      <c r="G84" s="36" t="inlineStr">
        <is>
          <t>是</t>
        </is>
      </c>
      <c r="H84" s="14" t="inlineStr"/>
    </row>
    <row r="85" ht="17" customHeight="1">
      <c r="A85" s="16" t="n"/>
      <c r="B85" s="21" t="inlineStr">
        <is>
          <t>戒指拍照</t>
        </is>
      </c>
      <c r="C85" s="14" t="inlineStr">
        <is>
          <t>戒指摇动拍照</t>
        </is>
      </c>
      <c r="D85" s="14" t="inlineStr">
        <is>
          <t>参考sdk内容，进入指定相机，摇动戒指自动按下快门</t>
        </is>
      </c>
      <c r="E85" s="6" t="n"/>
      <c r="F85" s="36" t="inlineStr">
        <is>
          <t>是</t>
        </is>
      </c>
      <c r="G85" s="36" t="inlineStr">
        <is>
          <t>是</t>
        </is>
      </c>
      <c r="H85" s="14" t="n"/>
    </row>
    <row r="86" ht="17" customHeight="1">
      <c r="A86" s="16" t="n"/>
      <c r="B86" s="21" t="inlineStr">
        <is>
          <t>语言设置</t>
        </is>
      </c>
      <c r="C86" s="14" t="inlineStr">
        <is>
          <t>自动识别</t>
        </is>
      </c>
      <c r="D86" s="14" t="inlineStr">
        <is>
          <t>根据系统语言切换，不支持的语言显示为中文</t>
        </is>
      </c>
      <c r="E86" s="6" t="n"/>
      <c r="F86" s="36" t="inlineStr">
        <is>
          <t>是</t>
        </is>
      </c>
      <c r="G86" s="37" t="inlineStr">
        <is>
          <t>否</t>
        </is>
      </c>
      <c r="H86" s="14" t="n"/>
    </row>
    <row r="87">
      <c r="A87" s="16" t="n"/>
      <c r="B87" s="16" t="n"/>
      <c r="C87" s="14" t="inlineStr">
        <is>
          <t>中文</t>
        </is>
      </c>
      <c r="D87" s="14" t="inlineStr">
        <is>
          <t>可切换至固定此语种</t>
        </is>
      </c>
      <c r="E87" s="6" t="n"/>
      <c r="F87" s="36" t="inlineStr">
        <is>
          <t>是</t>
        </is>
      </c>
      <c r="G87" s="36" t="inlineStr">
        <is>
          <t>是</t>
        </is>
      </c>
      <c r="H87" s="14" t="n"/>
    </row>
    <row r="88">
      <c r="A88" s="16" t="n"/>
      <c r="B88" s="16" t="n"/>
      <c r="C88" s="14" t="inlineStr">
        <is>
          <t>英文</t>
        </is>
      </c>
      <c r="D88" s="16" t="n"/>
      <c r="E88" s="6" t="n"/>
      <c r="F88" s="36" t="inlineStr">
        <is>
          <t>是</t>
        </is>
      </c>
      <c r="G88" s="37" t="inlineStr">
        <is>
          <t>否</t>
        </is>
      </c>
      <c r="H88" s="14" t="n"/>
    </row>
    <row r="89">
      <c r="A89" s="16" t="n"/>
      <c r="B89" s="16" t="n"/>
      <c r="C89" s="14" t="inlineStr">
        <is>
          <t>日语</t>
        </is>
      </c>
      <c r="D89" s="16" t="n"/>
      <c r="E89" s="6" t="n"/>
      <c r="F89" s="36" t="inlineStr">
        <is>
          <t>是</t>
        </is>
      </c>
      <c r="G89" s="37" t="inlineStr">
        <is>
          <t>否</t>
        </is>
      </c>
      <c r="H89" s="14" t="n"/>
    </row>
    <row r="90">
      <c r="A90" s="16" t="n"/>
      <c r="B90" s="16" t="n"/>
      <c r="C90" s="14" t="inlineStr">
        <is>
          <t>越南语</t>
        </is>
      </c>
      <c r="D90" s="16" t="n"/>
      <c r="E90" s="6" t="n"/>
      <c r="F90" s="36" t="inlineStr">
        <is>
          <t>是</t>
        </is>
      </c>
      <c r="G90" s="37" t="inlineStr">
        <is>
          <t>否</t>
        </is>
      </c>
      <c r="H90" s="14" t="n"/>
    </row>
    <row r="91">
      <c r="A91" s="16" t="n"/>
      <c r="B91" s="17" t="n"/>
      <c r="C91" s="14" t="inlineStr">
        <is>
          <t>泰语</t>
        </is>
      </c>
      <c r="D91" s="17" t="n"/>
      <c r="E91" s="6" t="n"/>
      <c r="F91" s="36" t="inlineStr">
        <is>
          <t>是</t>
        </is>
      </c>
      <c r="G91" s="37" t="inlineStr">
        <is>
          <t>否</t>
        </is>
      </c>
      <c r="H91" s="14" t="n"/>
    </row>
    <row r="92">
      <c r="A92" s="16" t="n"/>
      <c r="B92" s="13" t="inlineStr">
        <is>
          <t>戒指连接</t>
        </is>
      </c>
      <c r="C92" s="14" t="inlineStr">
        <is>
          <t>搜索 / 配对</t>
        </is>
      </c>
      <c r="D92" s="14" t="inlineStr">
        <is>
          <t>蓝牙扫描；30 秒超时；点击连接</t>
        </is>
      </c>
      <c r="E92" s="6" t="inlineStr">
        <is>
          <t>P6.2</t>
        </is>
      </c>
      <c r="F92" s="36" t="inlineStr">
        <is>
          <t>是</t>
        </is>
      </c>
      <c r="G92" s="36" t="inlineStr">
        <is>
          <t>是</t>
        </is>
      </c>
      <c r="H92" s="14" t="inlineStr"/>
    </row>
    <row r="93">
      <c r="A93" s="16" t="n"/>
      <c r="B93" s="16" t="n"/>
      <c r="C93" s="14" t="inlineStr">
        <is>
          <t>已连接详情</t>
        </is>
      </c>
      <c r="D93" s="14" t="inlineStr">
        <is>
          <t>型号 / SN / 电量 / 同步状态 / 固件版本</t>
        </is>
      </c>
      <c r="E93" s="6" t="inlineStr">
        <is>
          <t>P6.1</t>
        </is>
      </c>
      <c r="F93" s="36" t="inlineStr">
        <is>
          <t>是</t>
        </is>
      </c>
      <c r="G93" s="36" t="inlineStr">
        <is>
          <t>是</t>
        </is>
      </c>
      <c r="H93" s="14" t="inlineStr"/>
    </row>
    <row r="94">
      <c r="A94" s="16" t="n"/>
      <c r="B94" s="17" t="n"/>
      <c r="C94" s="14" t="inlineStr">
        <is>
          <t>移除戒指</t>
        </is>
      </c>
      <c r="D94" s="14" t="inlineStr">
        <is>
          <t>破坏性二次确认；保留历史数据</t>
        </is>
      </c>
      <c r="E94" s="6" t="inlineStr">
        <is>
          <t>P6.1 / P6.3</t>
        </is>
      </c>
      <c r="F94" s="36" t="inlineStr">
        <is>
          <t>是</t>
        </is>
      </c>
      <c r="G94" s="36" t="inlineStr">
        <is>
          <t>是</t>
        </is>
      </c>
      <c r="H94" s="14" t="inlineStr"/>
    </row>
    <row r="95" ht="17" customHeight="1">
      <c r="A95" s="16" t="n"/>
      <c r="B95" s="13" t="inlineStr">
        <is>
          <t>主题外观</t>
        </is>
      </c>
      <c r="C95" s="14" t="inlineStr">
        <is>
          <t>主题三选一</t>
        </is>
      </c>
      <c r="D95" s="14" t="inlineStr">
        <is>
          <t>跟随系统 / 浅色 / 深色；全局即时切换</t>
        </is>
      </c>
      <c r="E95" s="6" t="inlineStr">
        <is>
          <t>P5 / P5.6</t>
        </is>
      </c>
      <c r="F95" s="36" t="inlineStr">
        <is>
          <t>是</t>
        </is>
      </c>
      <c r="G95" s="37" t="inlineStr">
        <is>
          <t>否</t>
        </is>
      </c>
      <c r="H95" s="14" t="inlineStr"/>
    </row>
    <row r="96" ht="31" customHeight="1">
      <c r="A96" s="16" t="n"/>
      <c r="B96" s="13" t="inlineStr">
        <is>
          <t>消息中心</t>
        </is>
      </c>
      <c r="C96" s="14" t="inlineStr">
        <is>
          <t>4 分类 Tab</t>
        </is>
      </c>
      <c r="D96" s="14" t="inlineStr">
        <is>
          <t>好友：添加我为好友、好友点赞、好友评论
挑战： / 健康 / 系统</t>
        </is>
      </c>
      <c r="E96" s="6" t="inlineStr">
        <is>
          <t>P7</t>
        </is>
      </c>
      <c r="F96" s="36" t="inlineStr">
        <is>
          <t>是</t>
        </is>
      </c>
      <c r="G96" s="37" t="inlineStr">
        <is>
          <t>否</t>
        </is>
      </c>
      <c r="H96" s="14" t="inlineStr"/>
    </row>
    <row r="97">
      <c r="A97" s="16" t="n"/>
      <c r="B97" s="16" t="n"/>
      <c r="C97" s="14" t="inlineStr">
        <is>
          <t>未读管理</t>
        </is>
      </c>
      <c r="D97" s="14" t="inlineStr">
        <is>
          <t>条目级 / 分类级 / 全局级未读联动；全部已读</t>
        </is>
      </c>
      <c r="E97" s="6" t="inlineStr">
        <is>
          <t>P7</t>
        </is>
      </c>
      <c r="F97" s="36" t="inlineStr">
        <is>
          <t>是</t>
        </is>
      </c>
      <c r="G97" s="37" t="inlineStr">
        <is>
          <t>否</t>
        </is>
      </c>
      <c r="H97" s="14" t="inlineStr"/>
    </row>
    <row r="98">
      <c r="A98" s="16" t="n"/>
      <c r="B98" s="16" t="n"/>
      <c r="C98" s="14" t="inlineStr">
        <is>
          <t>消息跳转</t>
        </is>
      </c>
      <c r="D98" s="14" t="inlineStr">
        <is>
          <t>点击消息挑战之对应的页面</t>
        </is>
      </c>
      <c r="E98" s="6" t="n"/>
      <c r="F98" s="36" t="inlineStr">
        <is>
          <t>是</t>
        </is>
      </c>
      <c r="G98" s="37" t="inlineStr">
        <is>
          <t>否</t>
        </is>
      </c>
      <c r="H98" s="14" t="n"/>
    </row>
    <row r="99">
      <c r="A99" s="16" t="n"/>
      <c r="B99" s="16" t="n"/>
      <c r="C99" s="14" t="inlineStr">
        <is>
          <t>行内动作</t>
        </is>
      </c>
      <c r="D99" s="14" t="inlineStr">
        <is>
          <t>同意/忽略/撤回/打招呼/已服用/跳过/立即领取</t>
        </is>
      </c>
      <c r="E99" s="6" t="inlineStr">
        <is>
          <t>P7</t>
        </is>
      </c>
      <c r="F99" s="37" t="inlineStr">
        <is>
          <t>否</t>
        </is>
      </c>
      <c r="G99" s="37" t="inlineStr">
        <is>
          <t>否</t>
        </is>
      </c>
      <c r="H99" s="14" t="inlineStr"/>
    </row>
    <row r="100" ht="31" customHeight="1">
      <c r="A100" s="17" t="n"/>
      <c r="B100" s="17" t="n"/>
      <c r="C100" s="14" t="inlineStr">
        <is>
          <t>消息详情</t>
        </is>
      </c>
      <c r="D100" s="14" t="inlineStr">
        <is>
          <t>10 种变体（徽章/奖品/升级/连击/电量/断连/固件/版本/隐私政策/异地登录）</t>
        </is>
      </c>
      <c r="E100" s="6" t="inlineStr">
        <is>
          <t>P7.detail</t>
        </is>
      </c>
      <c r="F100" s="37" t="inlineStr">
        <is>
          <t>否</t>
        </is>
      </c>
      <c r="G100" s="37" t="inlineStr">
        <is>
          <t>否</t>
        </is>
      </c>
      <c r="H100" s="14" t="inlineStr"/>
    </row>
    <row r="101">
      <c r="A101" s="31" t="inlineStr">
        <is>
          <t>维度</t>
        </is>
      </c>
      <c r="B101" s="30" t="inlineStr">
        <is>
          <t>维度首页</t>
        </is>
      </c>
      <c r="C101" s="14" t="inlineStr">
        <is>
          <t>本月主推 · 横向轮播</t>
        </is>
      </c>
      <c r="D101" s="14" t="inlineStr">
        <is>
          <t>6-8 张主题挑战，含难度 pill</t>
        </is>
      </c>
      <c r="E101" s="6" t="inlineStr">
        <is>
          <t>L1.B</t>
        </is>
      </c>
      <c r="F101" s="36" t="inlineStr">
        <is>
          <t>是</t>
        </is>
      </c>
      <c r="G101" s="36" t="inlineStr">
        <is>
          <t>是</t>
        </is>
      </c>
      <c r="H101" s="14" t="inlineStr"/>
    </row>
    <row r="102">
      <c r="A102" s="16" t="n"/>
      <c r="B102" s="16" t="n"/>
      <c r="C102" s="14" t="inlineStr">
        <is>
          <t>已加入挑战列表</t>
        </is>
      </c>
      <c r="D102" s="14" t="inlineStr">
        <is>
          <t>进度概览，含年度挑战</t>
        </is>
      </c>
      <c r="E102" s="6" t="inlineStr">
        <is>
          <t>L1.E</t>
        </is>
      </c>
      <c r="F102" s="36" t="inlineStr">
        <is>
          <t>是</t>
        </is>
      </c>
      <c r="G102" s="36" t="inlineStr">
        <is>
          <t>是</t>
        </is>
      </c>
      <c r="H102" s="14" t="inlineStr"/>
    </row>
    <row r="103">
      <c r="A103" s="16" t="n"/>
      <c r="B103" s="16" t="n"/>
      <c r="C103" s="14" t="inlineStr">
        <is>
          <t>月度挑战</t>
        </is>
      </c>
      <c r="D103" s="14" t="inlineStr">
        <is>
          <t>7 个目标 chip + 卡片列表</t>
        </is>
      </c>
      <c r="E103" s="6" t="inlineStr">
        <is>
          <t>L1.F</t>
        </is>
      </c>
      <c r="F103" s="36" t="inlineStr">
        <is>
          <t>是</t>
        </is>
      </c>
      <c r="G103" s="36" t="inlineStr">
        <is>
          <t>是</t>
        </is>
      </c>
      <c r="H103" s="14" t="inlineStr"/>
    </row>
    <row r="104">
      <c r="A104" s="16" t="n"/>
      <c r="B104" s="16" t="n"/>
      <c r="C104" s="14" t="inlineStr">
        <is>
          <t>使用入门教程横排</t>
        </is>
      </c>
      <c r="D104" s="14" t="inlineStr">
        <is>
          <t>横滑教程卡</t>
        </is>
      </c>
      <c r="E104" s="6" t="inlineStr">
        <is>
          <t>L1.G / L4 / L4.1</t>
        </is>
      </c>
      <c r="F104" s="36" t="inlineStr">
        <is>
          <t>是</t>
        </is>
      </c>
      <c r="G104" s="36" t="inlineStr">
        <is>
          <t>是</t>
        </is>
      </c>
      <c r="H104" s="14" t="inlineStr"/>
    </row>
    <row r="105">
      <c r="A105" s="16" t="n"/>
      <c r="B105" s="17" t="n"/>
      <c r="C105" s="14" t="inlineStr">
        <is>
          <t>健康故事 KOL 横排</t>
        </is>
      </c>
      <c r="D105" s="14" t="inlineStr">
        <is>
          <t>横滑故事卡</t>
        </is>
      </c>
      <c r="E105" s="6" t="inlineStr">
        <is>
          <t>L1.H / L5 / L5.1</t>
        </is>
      </c>
      <c r="F105" s="36" t="inlineStr">
        <is>
          <t>是</t>
        </is>
      </c>
      <c r="G105" s="36" t="inlineStr">
        <is>
          <t>是</t>
        </is>
      </c>
      <c r="H105" s="14" t="inlineStr"/>
    </row>
    <row r="106">
      <c r="A106" s="16" t="n"/>
      <c r="B106" s="13" t="inlineStr">
        <is>
          <t>挑战详情</t>
        </is>
      </c>
      <c r="C106" s="14" t="inlineStr">
        <is>
          <t>挑战发起人卡</t>
        </is>
      </c>
      <c r="D106" s="14" t="inlineStr">
        <is>
          <t>固定显示为官方</t>
        </is>
      </c>
      <c r="E106" s="6" t="inlineStr">
        <is>
          <t>L2 / L2.1</t>
        </is>
      </c>
      <c r="F106" s="36" t="inlineStr">
        <is>
          <t>是</t>
        </is>
      </c>
      <c r="G106" s="36" t="inlineStr">
        <is>
          <t>是</t>
        </is>
      </c>
      <c r="H106" s="14" t="inlineStr"/>
    </row>
    <row r="107">
      <c r="A107" s="16" t="n"/>
      <c r="B107" s="16" t="n"/>
      <c r="C107" s="14" t="inlineStr">
        <is>
          <t>进度卡</t>
        </is>
      </c>
      <c r="D107" s="14" t="inlineStr">
        <is>
          <t>圆环 + 当前/目标</t>
        </is>
      </c>
      <c r="E107" s="6" t="inlineStr">
        <is>
          <t>L2</t>
        </is>
      </c>
      <c r="F107" s="36" t="inlineStr">
        <is>
          <t>是</t>
        </is>
      </c>
      <c r="G107" s="36" t="inlineStr">
        <is>
          <t>是</t>
        </is>
      </c>
      <c r="H107" s="14" t="inlineStr"/>
    </row>
    <row r="108">
      <c r="A108" s="16" t="n"/>
      <c r="B108" s="16" t="n"/>
      <c r="C108" s="14" t="inlineStr">
        <is>
          <t>科学依据卡</t>
        </is>
      </c>
      <c r="D108" s="14" t="inlineStr">
        <is>
          <t>研究引用 + 来源</t>
        </is>
      </c>
      <c r="E108" s="6" t="inlineStr">
        <is>
          <t>L2</t>
        </is>
      </c>
      <c r="F108" s="36" t="inlineStr">
        <is>
          <t>是</t>
        </is>
      </c>
      <c r="G108" s="36" t="inlineStr">
        <is>
          <t>是</t>
        </is>
      </c>
      <c r="H108" s="14" t="inlineStr"/>
    </row>
    <row r="109">
      <c r="A109" s="16" t="n"/>
      <c r="B109" s="16" t="n"/>
      <c r="C109" s="14" t="inlineStr">
        <is>
          <t>奖品区</t>
        </is>
      </c>
      <c r="D109" s="14" t="inlineStr">
        <is>
          <t>名称 + 3 格 emoji + 抽签信息</t>
        </is>
      </c>
      <c r="E109" s="6" t="inlineStr">
        <is>
          <t>L2</t>
        </is>
      </c>
      <c r="F109" s="36" t="inlineStr">
        <is>
          <t>是</t>
        </is>
      </c>
      <c r="G109" s="36" t="inlineStr">
        <is>
          <t>是</t>
        </is>
      </c>
      <c r="H109" s="14" t="inlineStr"/>
    </row>
    <row r="110">
      <c r="A110" s="16" t="n"/>
      <c r="B110" s="16" t="n"/>
      <c r="C110" s="14" t="inlineStr">
        <is>
          <t>排行榜</t>
        </is>
      </c>
      <c r="D110" s="14" t="inlineStr">
        <is>
          <t>全部 / 男生 / 女生 三 tab</t>
        </is>
      </c>
      <c r="E110" s="6" t="inlineStr">
        <is>
          <t>L2</t>
        </is>
      </c>
      <c r="F110" s="36" t="inlineStr">
        <is>
          <t>是</t>
        </is>
      </c>
      <c r="G110" s="36" t="inlineStr">
        <is>
          <t>是</t>
        </is>
      </c>
      <c r="H110" s="14" t="inlineStr"/>
    </row>
    <row r="111">
      <c r="A111" s="16" t="n"/>
      <c r="B111" s="16" t="n"/>
      <c r="C111" s="14" t="inlineStr">
        <is>
          <t>加入挑战</t>
        </is>
      </c>
      <c r="D111" s="14" t="inlineStr">
        <is>
          <t>映射到今日对应挑战卡（取较高目标值）</t>
        </is>
      </c>
      <c r="E111" s="6" t="inlineStr">
        <is>
          <t>L2</t>
        </is>
      </c>
      <c r="F111" s="36" t="inlineStr">
        <is>
          <t>是</t>
        </is>
      </c>
      <c r="G111" s="36" t="inlineStr">
        <is>
          <t>是</t>
        </is>
      </c>
      <c r="H111" s="14" t="inlineStr"/>
    </row>
    <row r="112">
      <c r="A112" s="16" t="n"/>
      <c r="B112" s="17" t="n"/>
      <c r="C112" s="14" t="inlineStr">
        <is>
          <t>退出挑战</t>
        </is>
      </c>
      <c r="D112" s="14" t="inlineStr">
        <is>
          <t>不删除历史，仅停止计入新行为</t>
        </is>
      </c>
      <c r="E112" s="6" t="inlineStr">
        <is>
          <t>L2</t>
        </is>
      </c>
      <c r="F112" s="36" t="inlineStr">
        <is>
          <t>是</t>
        </is>
      </c>
      <c r="G112" s="36" t="inlineStr">
        <is>
          <t>是</t>
        </is>
      </c>
      <c r="H112" s="14" t="inlineStr"/>
    </row>
    <row r="113">
      <c r="A113" s="16" t="n"/>
      <c r="B113" s="13" t="inlineStr">
        <is>
          <t>挑战邀请</t>
        </is>
      </c>
      <c r="C113" s="14" t="inlineStr">
        <is>
          <t>生成挑战邀请码 CHL-XXXXXX</t>
        </is>
      </c>
      <c r="D113" s="14" t="inlineStr">
        <is>
          <t>24h 缓存复用；邀请人 +5 XP / 每日上限 50</t>
        </is>
      </c>
      <c r="E113" s="6" t="inlineStr">
        <is>
          <t>L6</t>
        </is>
      </c>
      <c r="F113" s="36" t="inlineStr">
        <is>
          <t>是</t>
        </is>
      </c>
      <c r="G113" s="36" t="inlineStr">
        <is>
          <t>是</t>
        </is>
      </c>
      <c r="H113" s="14" t="inlineStr"/>
    </row>
    <row r="114">
      <c r="A114" s="16" t="n"/>
      <c r="B114" s="16" t="n"/>
      <c r="C114" s="14" t="inlineStr">
        <is>
          <t>粘贴邀请码加入</t>
        </is>
      </c>
      <c r="D114" s="14" t="inlineStr">
        <is>
          <t>手动输入 + 自动识别剪贴板</t>
        </is>
      </c>
      <c r="E114" s="6" t="inlineStr">
        <is>
          <t>L7</t>
        </is>
      </c>
      <c r="F114" s="36" t="inlineStr">
        <is>
          <t>是</t>
        </is>
      </c>
      <c r="G114" s="36" t="inlineStr">
        <is>
          <t>是</t>
        </is>
      </c>
      <c r="H114" s="14" t="inlineStr"/>
    </row>
    <row r="115">
      <c r="A115" s="16" t="n"/>
      <c r="B115" s="17" t="n"/>
      <c r="C115" s="14" t="inlineStr">
        <is>
          <t>邀请文案模板</t>
        </is>
      </c>
      <c r="D115" s="14" t="inlineStr">
        <is>
          <t>复制邀请码 / 复制全文</t>
        </is>
      </c>
      <c r="E115" s="6" t="inlineStr">
        <is>
          <t>L6</t>
        </is>
      </c>
      <c r="F115" s="36" t="inlineStr">
        <is>
          <t>是</t>
        </is>
      </c>
      <c r="G115" s="36" t="inlineStr">
        <is>
          <t>是</t>
        </is>
      </c>
      <c r="H115" s="14" t="inlineStr"/>
    </row>
    <row r="116">
      <c r="A116" s="16" t="n"/>
      <c r="B116" s="13" t="inlineStr">
        <is>
          <t>挑战完成弹窗</t>
        </is>
      </c>
      <c r="C116" s="14" t="inlineStr">
        <is>
          <t>成就告知</t>
        </is>
      </c>
      <c r="D116" s="14" t="inlineStr">
        <is>
          <t>弹窗提醒用户已完成此挑战，显示挑战完成获得的奖励</t>
        </is>
      </c>
      <c r="E116" s="6" t="inlineStr">
        <is>
          <t>L8</t>
        </is>
      </c>
      <c r="F116" s="36" t="inlineStr">
        <is>
          <t>是</t>
        </is>
      </c>
      <c r="G116" s="36" t="inlineStr">
        <is>
          <t>是</t>
        </is>
      </c>
      <c r="H116" s="14" t="inlineStr"/>
    </row>
    <row r="117">
      <c r="A117" s="16" t="n"/>
      <c r="B117" s="17" t="n"/>
      <c r="C117" s="14" t="inlineStr">
        <is>
          <t>同一挑战去重</t>
        </is>
      </c>
      <c r="D117" s="14" t="inlineStr">
        <is>
          <t>同会话最多弹 1 次；多挑战同时完成仅最高优先级弹出</t>
        </is>
      </c>
      <c r="E117" s="6" t="inlineStr">
        <is>
          <t>L8</t>
        </is>
      </c>
      <c r="F117" s="36" t="inlineStr">
        <is>
          <t>是</t>
        </is>
      </c>
      <c r="G117" s="36" t="inlineStr">
        <is>
          <t>是</t>
        </is>
      </c>
      <c r="H117" s="14" t="inlineStr"/>
    </row>
    <row r="118">
      <c r="A118" s="16" t="n"/>
      <c r="B118" s="13" t="inlineStr">
        <is>
          <t>挑战浏览</t>
        </is>
      </c>
      <c r="C118" s="14" t="inlineStr">
        <is>
          <t>全部挑战页</t>
        </is>
      </c>
      <c r="D118" s="14" t="inlineStr">
        <is>
          <t>完整列表</t>
        </is>
      </c>
      <c r="E118" s="6" t="inlineStr">
        <is>
          <t>L3</t>
        </is>
      </c>
      <c r="F118" s="36" t="inlineStr">
        <is>
          <t>是</t>
        </is>
      </c>
      <c r="G118" s="36" t="inlineStr">
        <is>
          <t>是</t>
        </is>
      </c>
      <c r="H118" s="14" t="inlineStr"/>
    </row>
    <row r="119">
      <c r="A119" s="16" t="n"/>
      <c r="B119" s="17" t="n"/>
      <c r="C119" s="14" t="inlineStr">
        <is>
          <t>已加入全部挑战</t>
        </is>
      </c>
      <c r="D119" s="14" t="inlineStr">
        <is>
          <t>复用 L1.E 行结构的完整列表</t>
        </is>
      </c>
      <c r="E119" s="6" t="inlineStr">
        <is>
          <t>L3 (joinedAllOverlay)</t>
        </is>
      </c>
      <c r="F119" s="36" t="inlineStr">
        <is>
          <t>是</t>
        </is>
      </c>
      <c r="G119" s="36" t="inlineStr">
        <is>
          <t>是</t>
        </is>
      </c>
      <c r="H119" s="14" t="inlineStr"/>
    </row>
    <row r="120">
      <c r="A120" s="16" t="n"/>
      <c r="B120" s="13" t="inlineStr">
        <is>
          <t>内容阅读</t>
        </is>
      </c>
      <c r="C120" s="14" t="inlineStr">
        <is>
          <t>教程文章列表 + 详情</t>
        </is>
      </c>
      <c r="D120" s="14" t="inlineStr">
        <is>
          <t>图文（标题/段落/callout/列表/引言）</t>
        </is>
      </c>
      <c r="E120" s="6" t="inlineStr">
        <is>
          <t>L4 / L4.1</t>
        </is>
      </c>
      <c r="F120" s="36" t="inlineStr">
        <is>
          <t>是</t>
        </is>
      </c>
      <c r="G120" s="36" t="inlineStr">
        <is>
          <t>是</t>
        </is>
      </c>
      <c r="H120" s="14" t="inlineStr"/>
    </row>
    <row r="121">
      <c r="A121" s="17" t="n"/>
      <c r="B121" s="17" t="n"/>
      <c r="C121" s="14" t="inlineStr">
        <is>
          <t>健康故事列表 + 详情</t>
        </is>
      </c>
      <c r="D121" s="14" t="inlineStr">
        <is>
          <t>人物 Hero + 图文 + 金句卡</t>
        </is>
      </c>
      <c r="E121" s="6" t="inlineStr">
        <is>
          <t>L5 / L5.1</t>
        </is>
      </c>
      <c r="F121" s="36" t="inlineStr">
        <is>
          <t>是</t>
        </is>
      </c>
      <c r="G121" s="36" t="inlineStr">
        <is>
          <t>是</t>
        </is>
      </c>
      <c r="H121" s="14" t="inlineStr"/>
    </row>
    <row r="122">
      <c r="A122" s="32" t="inlineStr">
        <is>
          <t>收获</t>
        </is>
      </c>
      <c r="B122" s="13" t="inlineStr">
        <is>
          <t>收获首页</t>
        </is>
      </c>
      <c r="C122" s="14" t="inlineStr">
        <is>
          <t>IP 形象主视觉（融合卡）</t>
        </is>
      </c>
      <c r="D122" s="14" t="inlineStr">
        <is>
          <t>IP 角色形象 + 头像/等级/昵称/最近 3 勋章/进度条/升级提示</t>
        </is>
      </c>
      <c r="E122" s="6" t="inlineStr">
        <is>
          <t>H1.A</t>
        </is>
      </c>
      <c r="F122" s="36" t="inlineStr">
        <is>
          <t>是</t>
        </is>
      </c>
      <c r="G122" s="37" t="inlineStr">
        <is>
          <t>否</t>
        </is>
      </c>
      <c r="H122" s="6" t="inlineStr">
        <is>
          <t>开发中</t>
        </is>
      </c>
    </row>
    <row r="123">
      <c r="A123" s="16" t="n"/>
      <c r="B123" s="16" t="n"/>
      <c r="C123" s="14" t="inlineStr">
        <is>
          <t>我的资产 · 三入口</t>
        </is>
      </c>
      <c r="D123" s="14" t="inlineStr">
        <is>
          <t>皮肤 / 头像框 / 勋章，各显示已解锁 / 总数</t>
        </is>
      </c>
      <c r="E123" s="6" t="inlineStr">
        <is>
          <t>H1.C</t>
        </is>
      </c>
      <c r="F123" s="36" t="inlineStr">
        <is>
          <t>是</t>
        </is>
      </c>
      <c r="G123" s="37" t="inlineStr">
        <is>
          <t>否</t>
        </is>
      </c>
      <c r="H123" s="16" t="n"/>
    </row>
    <row r="124">
      <c r="A124" s="16" t="n"/>
      <c r="B124" s="16" t="n"/>
      <c r="C124" s="14" t="inlineStr">
        <is>
          <t>XP 来源记录 · 昨日明细</t>
        </is>
      </c>
      <c r="D124" s="14" t="inlineStr">
        <is>
          <t>行为列表 + 基础 / 加成拆分；最近 30 天可查</t>
        </is>
      </c>
      <c r="E124" s="6" t="inlineStr">
        <is>
          <t>H1.D</t>
        </is>
      </c>
      <c r="F124" s="36" t="inlineStr">
        <is>
          <t>是</t>
        </is>
      </c>
      <c r="G124" s="37" t="inlineStr">
        <is>
          <t>否</t>
        </is>
      </c>
      <c r="H124" s="16" t="n"/>
    </row>
    <row r="125">
      <c r="A125" s="16" t="n"/>
      <c r="B125" s="17" t="n"/>
      <c r="C125" s="14" t="inlineStr">
        <is>
          <t>下拉刷新</t>
        </is>
      </c>
      <c r="D125" s="14" t="inlineStr">
        <is>
          <t>拉取最新等级 / XP / 资产 / 明细</t>
        </is>
      </c>
      <c r="E125" s="6" t="inlineStr">
        <is>
          <t>H1</t>
        </is>
      </c>
      <c r="F125" s="36" t="inlineStr">
        <is>
          <t>是</t>
        </is>
      </c>
      <c r="G125" s="37" t="inlineStr">
        <is>
          <t>否</t>
        </is>
      </c>
      <c r="H125" s="16" t="n"/>
    </row>
    <row r="126">
      <c r="A126" s="16" t="n"/>
      <c r="B126" s="13" t="inlineStr">
        <is>
          <t>等级 / XP 体系</t>
        </is>
      </c>
      <c r="C126" s="14" t="inlineStr">
        <is>
          <t>25 级体系</t>
        </is>
      </c>
      <c r="D126" s="14" t="inlineStr">
        <is>
          <t>L1-L25，每 5 级一阶段</t>
        </is>
      </c>
      <c r="E126" s="6" t="inlineStr">
        <is>
          <t>业务规则</t>
        </is>
      </c>
      <c r="F126" s="36" t="inlineStr">
        <is>
          <t>是</t>
        </is>
      </c>
      <c r="G126" s="37" t="inlineStr">
        <is>
          <t>否</t>
        </is>
      </c>
      <c r="H126" s="16" t="n"/>
    </row>
    <row r="127">
      <c r="A127" s="16" t="n"/>
      <c r="B127" s="16" t="n"/>
      <c r="C127" s="14" t="inlineStr">
        <is>
          <t>5 阶段形象进化</t>
        </is>
      </c>
      <c r="D127" s="14" t="inlineStr">
        <is>
          <t>萌芽 / 舒展 / 绽放 / 繁茂 / 圆满（IP 角色图）</t>
        </is>
      </c>
      <c r="E127" s="6" t="inlineStr">
        <is>
          <t>H4 / H7</t>
        </is>
      </c>
      <c r="F127" s="36" t="inlineStr">
        <is>
          <t>是</t>
        </is>
      </c>
      <c r="G127" s="37" t="inlineStr">
        <is>
          <t>否</t>
        </is>
      </c>
      <c r="H127" s="16" t="n"/>
    </row>
    <row r="128">
      <c r="A128" s="16" t="n"/>
      <c r="B128" s="16" t="n"/>
      <c r="C128" s="14" t="inlineStr">
        <is>
          <t>XP 永久加成倍率</t>
        </is>
      </c>
      <c r="D128" s="14" t="inlineStr">
        <is>
          <t>L1=1.00× → L25=1.25×；自动作用于行为 XP</t>
        </is>
      </c>
      <c r="E128" s="6" t="inlineStr">
        <is>
          <t>业务规则</t>
        </is>
      </c>
      <c r="F128" s="36" t="inlineStr">
        <is>
          <t>是</t>
        </is>
      </c>
      <c r="G128" s="37" t="inlineStr">
        <is>
          <t>否</t>
        </is>
      </c>
      <c r="H128" s="16" t="n"/>
    </row>
    <row r="129">
      <c r="A129" s="16" t="n"/>
      <c r="B129" s="16" t="n"/>
      <c r="C129" s="14" t="inlineStr">
        <is>
          <t>连击天数</t>
        </is>
      </c>
      <c r="D129" s="14" t="inlineStr">
        <is>
          <t>连续 N 天有完成则 N；0 完成清零</t>
        </is>
      </c>
      <c r="E129" s="6" t="inlineStr">
        <is>
          <t>业务规则</t>
        </is>
      </c>
      <c r="F129" s="36" t="inlineStr">
        <is>
          <t>是</t>
        </is>
      </c>
      <c r="G129" s="37" t="inlineStr">
        <is>
          <t>否</t>
        </is>
      </c>
      <c r="H129" s="16" t="n"/>
    </row>
    <row r="130">
      <c r="A130" s="16" t="n"/>
      <c r="B130" s="17" t="n"/>
      <c r="C130" s="14" t="inlineStr">
        <is>
          <t>XP 拆分公式</t>
        </is>
      </c>
      <c r="D130" s="14" t="inlineStr">
        <is>
          <t>基础 + 加成（基础 ×（倍率-1.00）向下取整）</t>
        </is>
      </c>
      <c r="E130" s="6" t="inlineStr">
        <is>
          <t>H1.D / 业务规则</t>
        </is>
      </c>
      <c r="F130" s="36" t="inlineStr">
        <is>
          <t>是</t>
        </is>
      </c>
      <c r="G130" s="37" t="inlineStr">
        <is>
          <t>否</t>
        </is>
      </c>
      <c r="H130" s="16" t="n"/>
    </row>
    <row r="131">
      <c r="A131" s="16" t="n"/>
      <c r="B131" s="13" t="inlineStr">
        <is>
          <t>等级形象档案</t>
        </is>
      </c>
      <c r="C131" s="14" t="inlineStr">
        <is>
          <t>5 阶段卡片</t>
        </is>
      </c>
      <c r="D131" s="14" t="inlineStr">
        <is>
          <t>已解锁彩色 + 解锁日期 / 未解锁灰底锁定</t>
        </is>
      </c>
      <c r="E131" s="6" t="inlineStr">
        <is>
          <t>H4</t>
        </is>
      </c>
      <c r="F131" s="36" t="inlineStr">
        <is>
          <t>是</t>
        </is>
      </c>
      <c r="G131" s="37" t="inlineStr">
        <is>
          <t>否</t>
        </is>
      </c>
      <c r="H131" s="16" t="n"/>
    </row>
    <row r="132">
      <c r="A132" s="16" t="n"/>
      <c r="B132" s="17" t="n"/>
      <c r="C132" s="14" t="inlineStr">
        <is>
          <t>阶段特征文案</t>
        </is>
      </c>
      <c r="D132" s="14" t="inlineStr">
        <is>
          <t>每阶段 IP 形象图 + 阶段描述（由后台配置）</t>
        </is>
      </c>
      <c r="E132" s="6" t="inlineStr">
        <is>
          <t>H4</t>
        </is>
      </c>
      <c r="F132" s="36" t="inlineStr">
        <is>
          <t>是</t>
        </is>
      </c>
      <c r="G132" s="37" t="inlineStr">
        <is>
          <t>否</t>
        </is>
      </c>
      <c r="H132" s="16" t="n"/>
    </row>
    <row r="133" ht="34" customHeight="1">
      <c r="A133" s="16" t="n"/>
      <c r="B133" s="13" t="inlineStr">
        <is>
          <t>我的皮肤（背景）</t>
        </is>
      </c>
      <c r="C133" s="14" t="inlineStr">
        <is>
          <t>皮肤切换 H1.A 背景</t>
        </is>
      </c>
      <c r="D133" s="14" t="inlineStr">
        <is>
          <t>后台传图即可上新，主题不固定</t>
        </is>
      </c>
      <c r="E133" s="6" t="inlineStr">
        <is>
          <t>H2</t>
        </is>
      </c>
      <c r="F133" s="36" t="inlineStr">
        <is>
          <t>是</t>
        </is>
      </c>
      <c r="G133" s="37" t="inlineStr">
        <is>
          <t>否</t>
        </is>
      </c>
      <c r="H133" s="16" t="n"/>
    </row>
    <row r="134">
      <c r="A134" s="16" t="n"/>
      <c r="B134" s="13" t="inlineStr">
        <is>
          <t>头像框</t>
        </is>
      </c>
      <c r="C134" s="14" t="inlineStr">
        <is>
          <t>已获得的头像框</t>
        </is>
      </c>
      <c r="D134" s="14" t="inlineStr">
        <is>
          <t>显示已经获得的头像框，可切换显示</t>
        </is>
      </c>
      <c r="E134" s="6" t="inlineStr">
        <is>
          <t>H3</t>
        </is>
      </c>
      <c r="F134" s="36" t="inlineStr">
        <is>
          <t>是</t>
        </is>
      </c>
      <c r="G134" s="37" t="inlineStr">
        <is>
          <t>否</t>
        </is>
      </c>
      <c r="H134" s="16" t="n"/>
    </row>
    <row r="135">
      <c r="A135" s="16" t="n"/>
      <c r="B135" s="17" t="n"/>
      <c r="C135" s="14" t="inlineStr">
        <is>
          <t>头像框显示范围</t>
        </is>
      </c>
      <c r="D135" s="14" t="inlineStr">
        <is>
          <t>收获首页、维度、关心显示头像的地方</t>
        </is>
      </c>
      <c r="E135" s="6" t="inlineStr">
        <is>
          <t>H3</t>
        </is>
      </c>
      <c r="F135" s="36" t="inlineStr">
        <is>
          <t>是</t>
        </is>
      </c>
      <c r="G135" s="37" t="inlineStr">
        <is>
          <t>否</t>
        </is>
      </c>
      <c r="H135" s="16" t="n"/>
    </row>
    <row r="136">
      <c r="A136" s="16" t="n"/>
      <c r="B136" s="13" t="inlineStr">
        <is>
          <t>勋章墙</t>
        </is>
      </c>
      <c r="C136" s="14" t="inlineStr">
        <is>
          <t>5 大系列</t>
        </is>
      </c>
      <c r="D136" s="14" t="inlineStr">
        <is>
          <t>日常 / 活动 / 限定 / 隐藏；筛选 chip</t>
        </is>
      </c>
      <c r="E136" s="6" t="inlineStr">
        <is>
          <t>H5</t>
        </is>
      </c>
      <c r="F136" s="36" t="inlineStr">
        <is>
          <t>是</t>
        </is>
      </c>
      <c r="G136" s="37" t="inlineStr">
        <is>
          <t>否</t>
        </is>
      </c>
      <c r="H136" s="16" t="n"/>
    </row>
    <row r="137">
      <c r="A137" s="16" t="n"/>
      <c r="B137" s="16" t="n"/>
      <c r="C137" s="14" t="inlineStr">
        <is>
          <t>6 档材质</t>
        </is>
      </c>
      <c r="D137" s="14" t="inlineStr">
        <is>
          <t>铁 / 铜 / 银 / 金 / 钻石（L1-L5）+ 多彩（限定）</t>
        </is>
      </c>
      <c r="E137" s="6" t="inlineStr">
        <is>
          <t>H5</t>
        </is>
      </c>
      <c r="F137" s="36" t="inlineStr">
        <is>
          <t>是</t>
        </is>
      </c>
      <c r="G137" s="37" t="inlineStr">
        <is>
          <t>否</t>
        </is>
      </c>
      <c r="H137" s="16" t="n"/>
    </row>
    <row r="138">
      <c r="A138" s="16" t="n"/>
      <c r="B138" s="16" t="n"/>
      <c r="C138" s="14" t="inlineStr">
        <is>
          <t>隐藏勋章</t>
        </is>
      </c>
      <c r="D138" s="14" t="inlineStr">
        <is>
          <t>未解锁前完全不展示，首次解锁后才出现</t>
        </is>
      </c>
      <c r="E138" s="6" t="inlineStr">
        <is>
          <t>H5</t>
        </is>
      </c>
      <c r="F138" s="36" t="inlineStr">
        <is>
          <t>是</t>
        </is>
      </c>
      <c r="G138" s="37" t="inlineStr">
        <is>
          <t>否</t>
        </is>
      </c>
      <c r="H138" s="16" t="n"/>
    </row>
    <row r="139">
      <c r="A139" s="16" t="n"/>
      <c r="B139" s="16" t="n"/>
      <c r="C139" s="14" t="inlineStr">
        <is>
          <t>历史补发</t>
        </is>
      </c>
      <c r="D139" s="14" t="inlineStr">
        <is>
          <t>新手 / 身体指标 / 今日挑战 / 圆环类支持；活动类默认不补发</t>
        </is>
      </c>
      <c r="E139" s="6" t="inlineStr">
        <is>
          <t>H5</t>
        </is>
      </c>
      <c r="F139" s="36" t="inlineStr">
        <is>
          <t>是</t>
        </is>
      </c>
      <c r="G139" s="37" t="inlineStr">
        <is>
          <t>否</t>
        </is>
      </c>
      <c r="H139" s="16" t="n"/>
    </row>
    <row r="140">
      <c r="A140" s="16" t="n"/>
      <c r="B140" s="17" t="n"/>
      <c r="C140" s="14" t="inlineStr">
        <is>
          <t>勋章详情</t>
        </is>
      </c>
      <c r="D140" s="14" t="inlineStr">
        <is>
          <t>只读详情（图标/名称/材质/系列/解锁条件/日期）</t>
        </is>
      </c>
      <c r="E140" s="6" t="inlineStr">
        <is>
          <t>H5.1</t>
        </is>
      </c>
      <c r="F140" s="36" t="inlineStr">
        <is>
          <t>是</t>
        </is>
      </c>
      <c r="G140" s="37" t="inlineStr">
        <is>
          <t>否</t>
        </is>
      </c>
      <c r="H140" s="16" t="n"/>
    </row>
    <row r="141">
      <c r="A141" s="16" t="n"/>
      <c r="B141" s="13" t="inlineStr">
        <is>
          <t>升级弹窗</t>
        </is>
      </c>
      <c r="C141" s="14" t="inlineStr">
        <is>
          <t>普通升级弹窗 H6</t>
        </is>
      </c>
      <c r="D141" s="14" t="inlineStr">
        <is>
          <t>非 5 整数倍升级；居中成就弹窗仅祝贺等级</t>
        </is>
      </c>
      <c r="E141" s="6" t="inlineStr">
        <is>
          <t>H6</t>
        </is>
      </c>
      <c r="F141" s="36" t="inlineStr">
        <is>
          <t>是</t>
        </is>
      </c>
      <c r="G141" s="37" t="inlineStr">
        <is>
          <t>否</t>
        </is>
      </c>
      <c r="H141" s="16" t="n"/>
    </row>
    <row r="142">
      <c r="A142" s="16" t="n"/>
      <c r="B142" s="16" t="n"/>
      <c r="C142" s="14" t="inlineStr">
        <is>
          <t>进化升级弹窗 H7</t>
        </is>
      </c>
      <c r="D142" s="14" t="inlineStr">
        <is>
          <t>5 整数倍升级；展示升级后形象 + 获得奖品（皮肤/头像框/XP加成）</t>
        </is>
      </c>
      <c r="E142" s="6" t="inlineStr">
        <is>
          <t>H7</t>
        </is>
      </c>
      <c r="F142" s="36" t="inlineStr">
        <is>
          <t>是</t>
        </is>
      </c>
      <c r="G142" s="37" t="inlineStr">
        <is>
          <t>否</t>
        </is>
      </c>
      <c r="H142" s="16" t="n"/>
    </row>
    <row r="143">
      <c r="A143" s="17" t="n"/>
      <c r="B143" s="17" t="n"/>
      <c r="C143" s="14" t="inlineStr">
        <is>
          <t>形象/奖品同源后台</t>
        </is>
      </c>
      <c r="D143" s="14" t="inlineStr">
        <is>
          <t>与 H4 共用后台「等级阶梯」阶段配置</t>
        </is>
      </c>
      <c r="E143" s="6" t="inlineStr">
        <is>
          <t>H4 / H7</t>
        </is>
      </c>
      <c r="F143" s="36" t="inlineStr">
        <is>
          <t>是</t>
        </is>
      </c>
      <c r="G143" s="37" t="inlineStr">
        <is>
          <t>否</t>
        </is>
      </c>
      <c r="H143" s="17" t="n"/>
    </row>
  </sheetData>
  <mergeCells count="38">
    <mergeCell ref="B131:B132"/>
    <mergeCell ref="B122:B125"/>
    <mergeCell ref="A35:A68"/>
    <mergeCell ref="D87:D91"/>
    <mergeCell ref="B69:B75"/>
    <mergeCell ref="A1:H1"/>
    <mergeCell ref="B120:B121"/>
    <mergeCell ref="B92:B94"/>
    <mergeCell ref="B47:B52"/>
    <mergeCell ref="B62:B67"/>
    <mergeCell ref="B57:B58"/>
    <mergeCell ref="B35:B37"/>
    <mergeCell ref="B86:B91"/>
    <mergeCell ref="B113:B115"/>
    <mergeCell ref="B126:B130"/>
    <mergeCell ref="B116:B117"/>
    <mergeCell ref="B80:B84"/>
    <mergeCell ref="B3:B5"/>
    <mergeCell ref="B38:B41"/>
    <mergeCell ref="B141:B143"/>
    <mergeCell ref="B59:B61"/>
    <mergeCell ref="B53:B56"/>
    <mergeCell ref="B118:B119"/>
    <mergeCell ref="A69:A100"/>
    <mergeCell ref="A122:A143"/>
    <mergeCell ref="B23:B34"/>
    <mergeCell ref="B106:B112"/>
    <mergeCell ref="B96:B100"/>
    <mergeCell ref="A101:A121"/>
    <mergeCell ref="A3:A34"/>
    <mergeCell ref="B101:B105"/>
    <mergeCell ref="H122:H143"/>
    <mergeCell ref="B6:B11"/>
    <mergeCell ref="B12:B22"/>
    <mergeCell ref="B42:B46"/>
    <mergeCell ref="B134:B135"/>
    <mergeCell ref="B76:B79"/>
    <mergeCell ref="B136:B140"/>
  </mergeCells>
  <conditionalFormatting sqref="F3:F143">
    <cfRule type="cellIs" priority="5" operator="equal" dxfId="0">
      <formula>"是"</formula>
    </cfRule>
    <cfRule type="cellIs" priority="6" operator="equal" dxfId="1">
      <formula>"否"</formula>
    </cfRule>
    <cfRule type="cellIs" priority="7" operator="equal" dxfId="2">
      <formula>"待定"</formula>
    </cfRule>
    <cfRule type="cellIs" priority="8" operator="equal" dxfId="3">
      <formula>"部分"</formula>
    </cfRule>
  </conditionalFormatting>
  <conditionalFormatting sqref="G3:G143">
    <cfRule type="cellIs" priority="1" operator="equal" dxfId="0">
      <formula>"是"</formula>
    </cfRule>
    <cfRule type="cellIs" priority="2" operator="equal" dxfId="1">
      <formula>"否"</formula>
    </cfRule>
    <cfRule type="cellIs" priority="3" operator="equal" dxfId="2">
      <formula>"待定"</formula>
    </cfRule>
    <cfRule type="cellIs" priority="4" operator="equal" dxfId="3">
      <formula>"部分"</formula>
    </cfRule>
  </conditionalFormatting>
  <dataValidations count="1">
    <dataValidation sqref="F3:G20 F21:G21 F22:G22 F23:G35 F36:F84 F85 F86:F91 F92:F94 F95:F97 F98 F99:F100 F101:F133 F134:F135 F136:F143 G36 G37:G84 G85 G86 G87:G89 G90 G91 G92:G94 G95 G96:G97 G98 G99:G100 G101:G121 G122:G143" showDropDown="0" showInputMessage="0" showErrorMessage="0" allowBlank="1" type="list">
      <formula1>"是,否,部分,待定"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:F1"/>
    </sheetView>
  </sheetViews>
  <sheetFormatPr baseColWidth="8" defaultColWidth="9" defaultRowHeight="16.8" outlineLevelRow="7"/>
  <cols>
    <col width="14" customWidth="1" min="1" max="1"/>
    <col width="12" customWidth="1" min="2" max="2"/>
    <col width="14" customWidth="1" min="3" max="3"/>
    <col width="16" customWidth="1" min="4" max="4"/>
    <col width="12" customWidth="1" min="5" max="5"/>
    <col width="16" customWidth="1" min="6" max="6"/>
  </cols>
  <sheetData>
    <row r="1" ht="30" customHeight="1">
      <c r="A1" s="1" t="inlineStr">
        <is>
          <t>一期封板 · 按模块汇总</t>
        </is>
      </c>
    </row>
    <row r="2" ht="26" customHeight="1">
      <c r="A2" s="4" t="inlineStr">
        <is>
          <t>模块</t>
        </is>
      </c>
      <c r="B2" s="4" t="inlineStr">
        <is>
          <t>功能块数</t>
        </is>
      </c>
      <c r="C2" s="4" t="inlineStr">
        <is>
          <t>子功能总数</t>
        </is>
      </c>
      <c r="D2" s="4" t="inlineStr">
        <is>
          <t>一期确认（是）</t>
        </is>
      </c>
      <c r="E2" s="4" t="inlineStr">
        <is>
          <t>不做（否）</t>
        </is>
      </c>
      <c r="F2" s="4" t="inlineStr">
        <is>
          <t>待定 / 部分</t>
        </is>
      </c>
    </row>
    <row r="3" ht="17" customHeight="1">
      <c r="A3" s="5" t="inlineStr">
        <is>
          <t>今日</t>
        </is>
      </c>
      <c r="B3" s="6" t="n">
        <v>4</v>
      </c>
      <c r="C3" s="6" t="n">
        <v>31</v>
      </c>
      <c r="D3" s="6">
        <f>COUNTIFS(一期封板·功能清单!A:A,A3,一期封板·功能清单!F:F,"是")</f>
        <v/>
      </c>
      <c r="E3" s="6">
        <f>COUNTIFS(一期封板·功能清单!A:A,A3,一期封板·功能清单!F:F,"否")</f>
        <v/>
      </c>
      <c r="F3" s="6">
        <f>COUNTIFS(一期封板·功能清单!A:A,A3,一期封板·功能清单!F:F,"待定")+COUNTIFS(一期封板·功能清单!A:A,A3,一期封板·功能清单!F:F,"部分")</f>
        <v/>
      </c>
    </row>
    <row r="4" ht="17" customHeight="1">
      <c r="A4" s="7" t="inlineStr">
        <is>
          <t>关心</t>
        </is>
      </c>
      <c r="B4" s="6" t="n">
        <v>9</v>
      </c>
      <c r="C4" s="6" t="n">
        <v>34</v>
      </c>
      <c r="D4" s="6">
        <f>COUNTIFS(一期封板·功能清单!A:A,A4,一期封板·功能清单!F:F,"是")</f>
        <v/>
      </c>
      <c r="E4" s="6">
        <f>COUNTIFS(一期封板·功能清单!A:A,A4,一期封板·功能清单!F:F,"否")</f>
        <v/>
      </c>
      <c r="F4" s="6">
        <f>COUNTIFS(一期封板·功能清单!A:A,A4,一期封板·功能清单!F:F,"待定")+COUNTIFS(一期封板·功能清单!A:A,A4,一期封板·功能清单!F:F,"部分")</f>
        <v/>
      </c>
    </row>
    <row r="5" ht="17" customHeight="1">
      <c r="A5" s="8" t="inlineStr">
        <is>
          <t>个人中心</t>
        </is>
      </c>
      <c r="B5" s="6" t="n">
        <v>6</v>
      </c>
      <c r="C5" s="6" t="n">
        <v>26</v>
      </c>
      <c r="D5" s="6">
        <f>COUNTIFS(一期封板·功能清单!A:A,A5,一期封板·功能清单!F:F,"是")</f>
        <v/>
      </c>
      <c r="E5" s="6">
        <f>COUNTIFS(一期封板·功能清单!A:A,A5,一期封板·功能清单!F:F,"否")</f>
        <v/>
      </c>
      <c r="F5" s="6">
        <f>COUNTIFS(一期封板·功能清单!A:A,A5,一期封板·功能清单!F:F,"待定")+COUNTIFS(一期封板·功能清单!A:A,A5,一期封板·功能清单!F:F,"部分")</f>
        <v/>
      </c>
    </row>
    <row r="6" ht="17" customHeight="1">
      <c r="A6" s="9" t="inlineStr">
        <is>
          <t>维度</t>
        </is>
      </c>
      <c r="B6" s="6" t="n">
        <v>6</v>
      </c>
      <c r="C6" s="6" t="n">
        <v>23</v>
      </c>
      <c r="D6" s="6">
        <f>COUNTIFS(一期封板·功能清单!A:A,A6,一期封板·功能清单!F:F,"是")</f>
        <v/>
      </c>
      <c r="E6" s="6">
        <f>COUNTIFS(一期封板·功能清单!A:A,A6,一期封板·功能清单!F:F,"否")</f>
        <v/>
      </c>
      <c r="F6" s="6">
        <f>COUNTIFS(一期封板·功能清单!A:A,A6,一期封板·功能清单!F:F,"待定")+COUNTIFS(一期封板·功能清单!A:A,A6,一期封板·功能清单!F:F,"部分")</f>
        <v/>
      </c>
    </row>
    <row r="7" ht="17" customHeight="1">
      <c r="A7" s="10" t="inlineStr">
        <is>
          <t>收获</t>
        </is>
      </c>
      <c r="B7" s="6" t="n">
        <v>7</v>
      </c>
      <c r="C7" s="6" t="n">
        <v>26</v>
      </c>
      <c r="D7" s="6">
        <f>COUNTIFS(一期封板·功能清单!A:A,A7,一期封板·功能清单!F:F,"是")</f>
        <v/>
      </c>
      <c r="E7" s="6">
        <f>COUNTIFS(一期封板·功能清单!A:A,A7,一期封板·功能清单!F:F,"否")</f>
        <v/>
      </c>
      <c r="F7" s="6">
        <f>COUNTIFS(一期封板·功能清单!A:A,A7,一期封板·功能清单!F:F,"待定")+COUNTIFS(一期封板·功能清单!A:A,A7,一期封板·功能清单!F:F,"部分")</f>
        <v/>
      </c>
    </row>
    <row r="8" ht="17" customHeight="1">
      <c r="A8" s="11" t="inlineStr">
        <is>
          <t>合计</t>
        </is>
      </c>
      <c r="B8" s="11" t="n">
        <v>32</v>
      </c>
      <c r="C8" s="11" t="n">
        <v>140</v>
      </c>
      <c r="D8" s="11">
        <f>COUNTIF(一期封板·功能清单!F:F,"是")</f>
        <v/>
      </c>
      <c r="E8" s="11">
        <f>COUNTIF(一期封板·功能清单!F:F,"否")</f>
        <v/>
      </c>
      <c r="F8" s="11">
        <f>COUNTIF(一期封板·功能清单!F:F,"待定")+COUNTIF(一期封板·功能清单!F:F,"部分")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ColWidth="9" defaultRowHeight="16.8"/>
  <cols>
    <col width="110" customWidth="1" min="1" max="1"/>
  </cols>
  <sheetData>
    <row r="1" ht="30" customHeight="1">
      <c r="A1" s="1" t="inlineStr">
        <is>
          <t>唯戒 App · 一期封板功能清单（按功能维度） · 使用说明</t>
        </is>
      </c>
    </row>
    <row r="2" ht="22" customHeight="1">
      <c r="A2" s="2" t="inlineStr"/>
    </row>
    <row r="3" ht="22" customHeight="1">
      <c r="A3" s="3" t="inlineStr">
        <is>
          <t>【这次的写法】</t>
        </is>
      </c>
    </row>
    <row r="4" ht="22" customHeight="1">
      <c r="A4" s="2" t="inlineStr">
        <is>
          <t xml:space="preserve">  本次按"功能维度"组织：5 大模块 → 32 个功能块 → 140 项子功能。</t>
        </is>
      </c>
    </row>
    <row r="5" ht="22" customHeight="1">
      <c r="A5" s="2" t="inlineStr">
        <is>
          <t xml:space="preserve">  每一行 = 一项明确的子功能（例：「三环活动 / 习惯环」「身体指标 / HRV」「我的皮肤 / 4 季节皮肤」），可独立决策一期是否实现。</t>
        </is>
      </c>
    </row>
    <row r="6" ht="22" customHeight="1">
      <c r="A6" s="2" t="inlineStr"/>
    </row>
    <row r="7" ht="22" customHeight="1">
      <c r="A7" s="3" t="inlineStr">
        <is>
          <t>【关键列】</t>
        </is>
      </c>
    </row>
    <row r="8" ht="22" customHeight="1">
      <c r="A8" s="2" t="inlineStr">
        <is>
          <t xml:space="preserve">  · 模块、功能块：分组维度（已合并单元格）。</t>
        </is>
      </c>
    </row>
    <row r="9" ht="22" customHeight="1">
      <c r="A9" s="2" t="inlineStr">
        <is>
          <t xml:space="preserve">  · 子功能 / 支持内容：具体功能点 + 关键参数（"支持什么、到什么程度"）。</t>
        </is>
      </c>
    </row>
    <row r="10" ht="22" customHeight="1">
      <c r="A10" s="2" t="inlineStr">
        <is>
          <t xml:space="preserve">  · 范围与说明：可选档位 / 上限 / 默认值 / 算法系数等关键约束。</t>
        </is>
      </c>
    </row>
    <row r="11" ht="22" customHeight="1">
      <c r="A11" s="2" t="inlineStr">
        <is>
          <t xml:space="preserve">  · 关联页面：在原型 / 文档中对应的页面 ID（便于追溯）。</t>
        </is>
      </c>
    </row>
    <row r="12" ht="22" customHeight="1">
      <c r="A12" s="2" t="inlineStr">
        <is>
          <t xml:space="preserve">  · 一期实现：下拉「是 / 否 / 部分 / 待定」（绿/灰/蓝/黄 染色）。</t>
        </is>
      </c>
    </row>
    <row r="13" ht="22" customHeight="1">
      <c r="A13" s="2" t="inlineStr">
        <is>
          <t xml:space="preserve">  · 一期范围说明：选「部分」时尤其要填，写清"一期做哪几个、不做哪几个"。</t>
        </is>
      </c>
    </row>
    <row r="14" ht="22" customHeight="1">
      <c r="A14" s="2" t="inlineStr"/>
    </row>
    <row r="15" ht="22" customHeight="1">
      <c r="A15" s="3" t="inlineStr">
        <is>
          <t>【模块色】今日=米黄 · 关心=粉 · 个人中心=淡蓝 · 维度=浅绿 · 收获=橙</t>
        </is>
      </c>
    </row>
    <row r="16" ht="22" customHeight="1">
      <c r="A16" s="2" t="inlineStr"/>
    </row>
    <row r="17" ht="22" customHeight="1">
      <c r="A17" s="3" t="inlineStr">
        <is>
          <t>【模块汇总 sheet】</t>
        </is>
      </c>
    </row>
    <row r="18" ht="22" customHeight="1">
      <c r="A18" s="2" t="inlineStr">
        <is>
          <t xml:space="preserve">  自动按你的勾选汇总每个模块的「是 / 否 / 待定+部分」数量，便于一眼看到决策进度。</t>
        </is>
      </c>
    </row>
    <row r="19" ht="22" customHeight="1">
      <c r="A19" s="2" t="inlineStr"/>
    </row>
    <row r="20" ht="22" customHeight="1">
      <c r="A20" s="3" t="inlineStr">
        <is>
          <t>【来源】</t>
        </is>
      </c>
    </row>
    <row r="21" ht="22" customHeight="1">
      <c r="A21" s="2" t="inlineStr">
        <is>
          <t xml:space="preserve">  《2026-06-01-唯戒APP需求说明书-V1.0.md》全文功能点整理（不是机械抽 3.3 页面表）。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2026-06-06T20:11:00Z</dcterms:created>
  <dcterms:modified xmlns:dcterms="http://purl.org/dc/terms/" xmlns:xsi="http://www.w3.org/2001/XMLSchema-instance" xsi:type="dcterms:W3CDTF">2026-06-05T13:34:44Z</dcterms:modified>
  <cp:lastModifiedBy>yinsong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2A6BF365E96F69DCEFC7226AAA630CBC_42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